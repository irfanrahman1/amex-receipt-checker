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pi.dropbox.com/wopi/files/oid_11943546333133869312/WOPIServiceId_TP_DROPBOX_PLUS/WOPIUserId_-/"/>
    </mc:Choice>
  </mc:AlternateContent>
  <xr:revisionPtr revIDLastSave="0" documentId="8_{B76BE6F2-5684-4088-8981-258A05F515B6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Transaction Details" sheetId="1" r:id="rId1"/>
    <sheet name="GL Accounts" sheetId="3" r:id="rId2"/>
    <sheet name="Lookup Tab Database" sheetId="4" r:id="rId3"/>
  </sheets>
  <definedNames>
    <definedName name="__bookmark_1">#REF!</definedName>
    <definedName name="_xlnm._FilterDatabase" localSheetId="2" hidden="1">'Lookup Tab Database'!$B$2:$E$2</definedName>
    <definedName name="_xlnm._FilterDatabase" localSheetId="0" hidden="1">'Transaction Details'!$A$7:$V$94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6" i="1" l="1"/>
</calcChain>
</file>

<file path=xl/sharedStrings.xml><?xml version="1.0" encoding="utf-8"?>
<sst xmlns="http://schemas.openxmlformats.org/spreadsheetml/2006/main" count="2088" uniqueCount="811">
  <si>
    <t/>
  </si>
  <si>
    <t>Transaction Details</t>
  </si>
  <si>
    <t>Business Platinum Card® / Jun 01, 2026 to Jun 30, 2026</t>
  </si>
  <si>
    <t>Prepared for</t>
  </si>
  <si>
    <t>CRAEG K STRONG</t>
  </si>
  <si>
    <t>Account Number</t>
  </si>
  <si>
    <t>XXXX-XXXXXX-24000</t>
  </si>
  <si>
    <t>Date</t>
  </si>
  <si>
    <t>Receipt</t>
  </si>
  <si>
    <t>Description</t>
  </si>
  <si>
    <t>Card Member</t>
  </si>
  <si>
    <t>Account #</t>
  </si>
  <si>
    <t>Amount</t>
  </si>
  <si>
    <t>Extended Details</t>
  </si>
  <si>
    <t>Appears On Your Statement As</t>
  </si>
  <si>
    <t>Address</t>
  </si>
  <si>
    <t>City/State</t>
  </si>
  <si>
    <t>Zip Code</t>
  </si>
  <si>
    <t>Country</t>
  </si>
  <si>
    <t>Reference</t>
  </si>
  <si>
    <t>Category</t>
  </si>
  <si>
    <t>06/30/2026</t>
  </si>
  <si>
    <t>FEDEX - EXPRESS     800-622-1147        TN</t>
  </si>
  <si>
    <t>JULIANN  MCGOWAN</t>
  </si>
  <si>
    <t>-21063</t>
  </si>
  <si>
    <t>526919861  526919861        38132
ARIEL PARTNERS                        NY
DIRECT BILLING TRANSACTION
FEDEX INV# 000526919861
FEDEX #1-800-622-1147
FEDEX - EXPRESS
800-622-1147
TN
ARIEL PARTNERS                        NY
DIRECT BILLING TRANSACTION
FEDEX INV# 000526919861
FEDEX #1-800-622-1147
526919861        38132</t>
  </si>
  <si>
    <t>3875 AIRWAYS BLVD
-</t>
  </si>
  <si>
    <t>MEMPHIS
TN</t>
  </si>
  <si>
    <t>38116</t>
  </si>
  <si>
    <t>UNITED STATES</t>
  </si>
  <si>
    <t>320261820273510033</t>
  </si>
  <si>
    <t>Business Services-Mailing &amp; Shipping</t>
  </si>
  <si>
    <t>06/29/2026</t>
  </si>
  <si>
    <t>AplPay NYCT PAYGO   NEW YORK            NY</t>
  </si>
  <si>
    <t>-24000</t>
  </si>
  <si>
    <t>00929926353 LOCAL TRANSPORTATION
AplPay NYCT PAYGO
NEW YORK
NY
LOCAL TRANSPORTATION</t>
  </si>
  <si>
    <t>ATTN NYCT CONTROLLER
2 BROADWAY 15TH FLOOR</t>
  </si>
  <si>
    <t>NEW YORK
NY</t>
  </si>
  <si>
    <t>10004</t>
  </si>
  <si>
    <t>320261810240476235</t>
  </si>
  <si>
    <t>Transportation-Rail Services</t>
  </si>
  <si>
    <t>00929884092 LOCAL TRANSPORTATION
AplPay NYCT PAYGO
NEW YORK
NY
LOCAL TRANSPORTATION</t>
  </si>
  <si>
    <t>320261810244604144</t>
  </si>
  <si>
    <t>VONAGE BUSINESS SOLU(866)901-0242       GA</t>
  </si>
  <si>
    <t>P-14878418  TELECOM
VONAGE BUSINESS SOLUTIONS
(866)901-0242
GA
TELECOM</t>
  </si>
  <si>
    <t>3200 WINDY HL RD SOUTH EAST
STE 200</t>
  </si>
  <si>
    <t>ATLANTA
GA</t>
  </si>
  <si>
    <t>30339</t>
  </si>
  <si>
    <t>320261810255369522</t>
  </si>
  <si>
    <t>Communications-Telephone Comm</t>
  </si>
  <si>
    <t>06/28/2026</t>
  </si>
  <si>
    <t>VIETSPOT            New York            NY</t>
  </si>
  <si>
    <t>ZC5H0iLC4lL squareup.com/receipts
VIETSPOT
New York
NY
squareup.com/receipts</t>
  </si>
  <si>
    <t>99 NASSAU ST</t>
  </si>
  <si>
    <t>10038</t>
  </si>
  <si>
    <t>320261790175090197</t>
  </si>
  <si>
    <t>Restaurant-Bar &amp; Café</t>
  </si>
  <si>
    <t>06/27/2026</t>
  </si>
  <si>
    <t>CBI*ONEIDENTITY     800-799-9570        IL</t>
  </si>
  <si>
    <t>544723299  544723299        10018
CBI*ONEIDENTITY
800-799-9570
IL
544723299        10018</t>
  </si>
  <si>
    <t>350 NORTH CLARK ST</t>
  </si>
  <si>
    <t>CHICAGO
IL</t>
  </si>
  <si>
    <t>60654-4712</t>
  </si>
  <si>
    <t>320261790187817496</t>
  </si>
  <si>
    <t>Business Services-Internet Services</t>
  </si>
  <si>
    <t>MICROSOFT           MSBILL.INFO</t>
  </si>
  <si>
    <t>Z745T07DPEGZ745T07DPEG2     98052
MICROSOFT
MSBILL.INFO
Z745T07DPEG2     98052</t>
  </si>
  <si>
    <t>1 MICROSOFT WAY</t>
  </si>
  <si>
    <t>REDMOND
WA</t>
  </si>
  <si>
    <t>98052</t>
  </si>
  <si>
    <t>320261780162562104</t>
  </si>
  <si>
    <t>Other-Miscellaneous</t>
  </si>
  <si>
    <t>NYTimes.COM NY TIMES(800)698-4637       NY</t>
  </si>
  <si>
    <t>F943DB9C21B ONLINE SUBS
NYTimes.COM NY TIMES DIGITAL
(800)698-4637
NY
ONLINE SUBS</t>
  </si>
  <si>
    <t>620 8TH AVE
BSMT 1</t>
  </si>
  <si>
    <t>10018-1604</t>
  </si>
  <si>
    <t>320261790194426499</t>
  </si>
  <si>
    <t>Merchandise &amp; Supplies-Mail Order</t>
  </si>
  <si>
    <t>06/26/2026</t>
  </si>
  <si>
    <t>VZWRLSS APOCC VISB  800-922-0204        FL</t>
  </si>
  <si>
    <t>B0100000615BILL PAYMENT
VZWRLSS APOCC VISB
800-922-0204
FL
BILL PAYMENT</t>
  </si>
  <si>
    <t>TWO VERIZON PLACE</t>
  </si>
  <si>
    <t>ALPHARETTA
GA</t>
  </si>
  <si>
    <t>30004</t>
  </si>
  <si>
    <t>320261770119542634</t>
  </si>
  <si>
    <t>Communications-Mobile Telecom</t>
  </si>
  <si>
    <t>06/25/2026</t>
  </si>
  <si>
    <t>GOOGLE *YOUTUBEPREMI G.CO/HELPPAY#      CA</t>
  </si>
  <si>
    <t>A16WWUBJ    DIGITAL GOODS: APPS
GOOGLE *YOUTUBEPREMIUM
G.CO/HELPPAY#
CA
DIGITAL GOODS: APPS</t>
  </si>
  <si>
    <t>1600 AMPHITHEATRE PKWY</t>
  </si>
  <si>
    <t>MOUNTAIN VIEW
CA</t>
  </si>
  <si>
    <t>94043</t>
  </si>
  <si>
    <t>320261770125618837</t>
  </si>
  <si>
    <t>Merchandise &amp; Supplies-Internet Purchase</t>
  </si>
  <si>
    <t>IN *K AND GE LLC    FREDERICK           MD</t>
  </si>
  <si>
    <t>176I16A94K922706            217015
IN *K AND GE LLC
FREDERICK
MD
22706            217015</t>
  </si>
  <si>
    <t>11 WEST PATRICK ST</t>
  </si>
  <si>
    <t>FREDERICK
MD</t>
  </si>
  <si>
    <t>21701-5511</t>
  </si>
  <si>
    <t>320261760078831655</t>
  </si>
  <si>
    <t>Business Services-Conferences &amp; Training</t>
  </si>
  <si>
    <t>Z73PT180F4EZ73PT180F4E2     98052
MICROSOFT
MSBILL.INFO
Z73PT180F4E2     98052</t>
  </si>
  <si>
    <t>320261760095310986</t>
  </si>
  <si>
    <t>06/24/2026</t>
  </si>
  <si>
    <t>CDW Government VernoVernon Hills        IL</t>
  </si>
  <si>
    <t>AJ8VN5S    0000000045       10038
IT1 LVO P16S G3;UPI    2171.0000;QTY4
IT2            ;UPI       0.0000;QTY
FRT         0.00;HDL         0.00;ITM1
CDW Government Vernon Hills IL
Vernon Hills
IL
IT1 LVO P16S G3;UPI    2171.0000;QTY4
IT2            ;UPI       0.0000;QTY
FRT         0.00;HDL         0.00;ITM1
0000000045       10038</t>
  </si>
  <si>
    <t>230 NORTH MILWAUKEE AVE</t>
  </si>
  <si>
    <t>VERNON HILLS
IL</t>
  </si>
  <si>
    <t>60061-4304</t>
  </si>
  <si>
    <t>320261760087002101</t>
  </si>
  <si>
    <t>Business Services-Employment Agencies</t>
  </si>
  <si>
    <t>DELTEK INC          HERNDON             VA</t>
  </si>
  <si>
    <t>78956524    800-456-2009
DELTEK INC
HERNDON
VA
Description : COMPUTER AND DATA P Price : 0.00
800-456-2009</t>
  </si>
  <si>
    <t>2291 WOOD OAK DR
STE 140</t>
  </si>
  <si>
    <t>HERNDON
VA</t>
  </si>
  <si>
    <t>20171-6008</t>
  </si>
  <si>
    <t>320261760094803089</t>
  </si>
  <si>
    <t>Merchandise &amp; Supplies-Computer Supplies</t>
  </si>
  <si>
    <t>UDEMY: ONLINE COURSESAN FRANCISCO       CA</t>
  </si>
  <si>
    <t>CH_2TM2NEN1 +18888385432
UDEMY: ONLINE COURSES
SAN FRANCISCO
CA
+18888385432</t>
  </si>
  <si>
    <t>600 HARRISON ST
3RD FLOOR</t>
  </si>
  <si>
    <t>SAN FRANCISCO
CA</t>
  </si>
  <si>
    <t>94107</t>
  </si>
  <si>
    <t>320261760096767581</t>
  </si>
  <si>
    <t>Other-Education</t>
  </si>
  <si>
    <t>06/23/2026</t>
  </si>
  <si>
    <t>APPLE.COM/BILL      INTERNET CHARGE     CA</t>
  </si>
  <si>
    <t>MK5YB4KL5LA RECORD STORE
APPLE.COM/BILL
INTERNET CHARGE
CA
RECORD STORE</t>
  </si>
  <si>
    <t>MS-3RA
12545 RIATA VISTA CIRCLE</t>
  </si>
  <si>
    <t>AUSTIN
TX</t>
  </si>
  <si>
    <t>78727-5205</t>
  </si>
  <si>
    <t>320261740016424435</t>
  </si>
  <si>
    <t>06/22/2026</t>
  </si>
  <si>
    <t>GODADDY             480-505-8855        AZ</t>
  </si>
  <si>
    <t>4118554392  480-505-8855
GODADDY
480-505-8855
AZ
Description : GODADDY Price : 0.00
480-505-8855</t>
  </si>
  <si>
    <t>100 SOUTH ML AVE</t>
  </si>
  <si>
    <t>TEMPE
AZ</t>
  </si>
  <si>
    <t>85281</t>
  </si>
  <si>
    <t>320261740030204728</t>
  </si>
  <si>
    <t>06/21/2026</t>
  </si>
  <si>
    <t>RENEWAL MEMBERSHIP FEE</t>
  </si>
  <si>
    <t>SHILPA S STRONG</t>
  </si>
  <si>
    <t>-23010</t>
  </si>
  <si>
    <t xml:space="preserve">RENEWAL MEMBERSHIP FEE
</t>
  </si>
  <si>
    <t>320261723953592993</t>
  </si>
  <si>
    <t>Fees &amp; Adjustments-Fees &amp; Adjustments</t>
  </si>
  <si>
    <t>320261723953592994</t>
  </si>
  <si>
    <t>06/20/2026</t>
  </si>
  <si>
    <t>FS *TECHSMITH       877-327-8914        CA</t>
  </si>
  <si>
    <t>XLFTKKVUSNW424DE117F15B1EBC 10018
CAMTASIA? BUSINESS
FS *TECHSMITH
877-327-8914
CA
CAMTASIA? BUSINESS
424DE117F15B1EBC 10018</t>
  </si>
  <si>
    <t>801 GDN ST 201</t>
  </si>
  <si>
    <t>SANTA BARBARA
CA</t>
  </si>
  <si>
    <t>93101</t>
  </si>
  <si>
    <t>320261710927508266</t>
  </si>
  <si>
    <t>GA8BDZMXTQE424DE117F15B1EBC 10018
TECHSMITH ASSETS? FOR CAMT
FS *TECHSMITH
877-327-8914
CA
TECHSMITH ASSETS? FOR CAMT
424DE117F15B1EBC 10018</t>
  </si>
  <si>
    <t>320261710927508563</t>
  </si>
  <si>
    <t>06/19/2026</t>
  </si>
  <si>
    <t>MK5Y9ZGVNMA RECORD STORE
APPLE.COM/BILL
INTERNET CHARGE
CA
RECORD STORE</t>
  </si>
  <si>
    <t>320261700897887818</t>
  </si>
  <si>
    <t>MK5YB4KJ4GA RECORD STORE
APPLE.COM/BILL
INTERNET CHARGE
CA
RECORD STORE</t>
  </si>
  <si>
    <t>320261700898828635</t>
  </si>
  <si>
    <t>06/18/2026</t>
  </si>
  <si>
    <t>10059D CAVA 38TH &amp; B718-502-9282        NY</t>
  </si>
  <si>
    <t>C06FC576    FULL SERVICE
10059D CAVA 38TH &amp; B
718-502-9282
NY
FULL SERVICE</t>
  </si>
  <si>
    <t>1385 BROADWAY</t>
  </si>
  <si>
    <t>10018</t>
  </si>
  <si>
    <t>320261700904343183</t>
  </si>
  <si>
    <t>LUCEN* SOFTWARE     SEATTLE             WA</t>
  </si>
  <si>
    <t>CH_2TJTGBNE +14252969002
LUCEN* SOFTWARE
SEATTLE
WA
+14252969002</t>
  </si>
  <si>
    <t>1916 PIKE PLACE
STE 12 1325</t>
  </si>
  <si>
    <t>SEATTLE
WA</t>
  </si>
  <si>
    <t>98101</t>
  </si>
  <si>
    <t>320261700912399556</t>
  </si>
  <si>
    <t>06/17/2026</t>
  </si>
  <si>
    <t>00926552911 LOCAL TRANSPORTATION
AplPay NYCT PAYGO
NEW YORK
NY
LOCAL TRANSPORTATION</t>
  </si>
  <si>
    <t>320261690874398221</t>
  </si>
  <si>
    <t>00926493712 LOCAL TRANSPORTATION
AplPay NYCT PAYGO
NEW YORK
NY
LOCAL TRANSPORTATION</t>
  </si>
  <si>
    <t>320261690876717984</t>
  </si>
  <si>
    <t>The Publisher  FredeFredericksburg      VA</t>
  </si>
  <si>
    <t xml:space="preserve">47909       5403707233
LODGING
The Publisher  Fredericksburg
Fredericksburg
VA
</t>
  </si>
  <si>
    <t>711 WILLIAM ST</t>
  </si>
  <si>
    <t>FREDERICKSBURG
VA</t>
  </si>
  <si>
    <t>22401</t>
  </si>
  <si>
    <t>320261680848751336</t>
  </si>
  <si>
    <t>Travel-Lodging</t>
  </si>
  <si>
    <t>06/16/2026</t>
  </si>
  <si>
    <t>DOK KHAO THAI EATERYWOODBRIDGE          VA</t>
  </si>
  <si>
    <t>85230726168        USFC2SP S22191
DOK KHAO THAI EATERY
WOODBRIDGE
VA
USFC2SP S22191</t>
  </si>
  <si>
    <t>15200 POTOMAC TOWN
PL110</t>
  </si>
  <si>
    <t>WOODBRIDGE
VA</t>
  </si>
  <si>
    <t>22191-6584</t>
  </si>
  <si>
    <t>320261680834256721</t>
  </si>
  <si>
    <t>Restaurant-Restaurant</t>
  </si>
  <si>
    <t>EDGE EXPRESS CAR WASSTAFFORD            VA</t>
  </si>
  <si>
    <t>46700005    540-602-2429
EDGE EXPRESS CAR WASH
STAFFORD
VA
Description : CAR WASH Price : 0.00
540-602-2429</t>
  </si>
  <si>
    <t>200 GARRISONVILLE RD</t>
  </si>
  <si>
    <t>STAFFORD
VA</t>
  </si>
  <si>
    <t>22554</t>
  </si>
  <si>
    <t>320261680851293933</t>
  </si>
  <si>
    <t>Business Services-Other Services</t>
  </si>
  <si>
    <t>4113900644  480-505-8855
GODADDY
480-505-8855
AZ
Description : GODADDY Price : 0.00
480-505-8855</t>
  </si>
  <si>
    <t>320261680855278922</t>
  </si>
  <si>
    <t>HILTON ALEXANDRIA OLALEXANDRIA          VA</t>
  </si>
  <si>
    <t xml:space="preserve">69834675    703-837-0440
LODGING
HILTON ALEXANDRIA OLD TOWN HILTON ALEX
ALEXANDRIA
VA
</t>
  </si>
  <si>
    <t>1767 KING ST</t>
  </si>
  <si>
    <t>ALEXANDRIA
VA</t>
  </si>
  <si>
    <t>22314</t>
  </si>
  <si>
    <t>320261670816068137</t>
  </si>
  <si>
    <t>MISSION BBQ STAFFORDSTAFFORD            VA</t>
  </si>
  <si>
    <t>99999996167 4437632333
MISSION BBQ STAFFORD-STOR 000000001
STAFFORD
VA
Description : RESTAURANTS Price : 0.5457
4437632333</t>
  </si>
  <si>
    <t>267 GARRISONVILLE RD</t>
  </si>
  <si>
    <t>22554-1596</t>
  </si>
  <si>
    <t>320261680853471114</t>
  </si>
  <si>
    <t>PASSNY TOLLBYMAI    800-333-8655        NY</t>
  </si>
  <si>
    <t>60P23929644 TOLLBYMAIL PAYMENT
PASSNY TOLLBYMAI
800-333-8655
NY
TOLLBYMAIL PAYMENT</t>
  </si>
  <si>
    <t>2 BROADWAY 23RD
FLOOR</t>
  </si>
  <si>
    <t>320261680851657010</t>
  </si>
  <si>
    <t>Transportation-Tolls &amp; Fees</t>
  </si>
  <si>
    <t>TST* OROFINO 0000196FREDERICKSBUR       VA</t>
  </si>
  <si>
    <t>99999996167 5403732953
TST* OROFINO 000019660
FREDERICKSBUR
VA
Description : RESTAURANTS Price : 2.1742
5403732953</t>
  </si>
  <si>
    <t>1006 CAROLINE ST</t>
  </si>
  <si>
    <t>320261670815637565</t>
  </si>
  <si>
    <t>eFAX.COM SERVICES   800-958-2983        CA</t>
  </si>
  <si>
    <t>286801340   INTERNET SVC
eFAX.COM SERVICES
800-958-2983
CA
INTERNET SVC</t>
  </si>
  <si>
    <t>15TH FLOOR 700 SOUTH FLOWER</t>
  </si>
  <si>
    <t>LOS ANGELES
CA</t>
  </si>
  <si>
    <t>90017</t>
  </si>
  <si>
    <t>320261670805041551</t>
  </si>
  <si>
    <t>06/15/2026</t>
  </si>
  <si>
    <t>COLPARK LOC 679 CLPKMCLEAN              VA</t>
  </si>
  <si>
    <t>000002761   2027758819
COLPARK LOC 679 CLPK067902 CLPK
MCLEAN
VA
Description : PARKING GARAGE Price : 0.06
2027758819</t>
  </si>
  <si>
    <t>8251 GREENSBORO DR</t>
  </si>
  <si>
    <t>MC LEAN
VA</t>
  </si>
  <si>
    <t>22102</t>
  </si>
  <si>
    <t>320261670811592487</t>
  </si>
  <si>
    <t>Transportation-Parking Charges</t>
  </si>
  <si>
    <t>Z73QSEYN1RIZ73QSEYN1RIE     98052
MICROSOFT
MSBILL.INFO
Z73QSEYN1RIE     98052</t>
  </si>
  <si>
    <t>320261660790584147</t>
  </si>
  <si>
    <t>PARKMOBILE ParkMobilATLANTA             GA</t>
  </si>
  <si>
    <t>579038588   parkmobile.io
PARKMOBILE ParkMobile
ATLANTA
GA
parkmobile.io</t>
  </si>
  <si>
    <t>SUITE 200
1100 SPRINGS STREET</t>
  </si>
  <si>
    <t>30309</t>
  </si>
  <si>
    <t>320261670814580280</t>
  </si>
  <si>
    <t>Merchandise &amp; Supplies-Groceries</t>
  </si>
  <si>
    <t>578977438   parkmobile.io
PARKMOBILE ParkMobile
ATLANTA
GA
parkmobile.io</t>
  </si>
  <si>
    <t>320261670812685562</t>
  </si>
  <si>
    <t>TST* ELEPHANT JUMPS FALLS CHURCH        VA</t>
  </si>
  <si>
    <t>21105176167 RESTAURANT
TST* ELEPHANT JUMPS NEW O 00303545
FALLS CHURCH
VA
RESTAURANT</t>
  </si>
  <si>
    <t>8110 ARLINGTON BLVD</t>
  </si>
  <si>
    <t>FALLS CHURCH
VA</t>
  </si>
  <si>
    <t>22042</t>
  </si>
  <si>
    <t>320261670814963266</t>
  </si>
  <si>
    <t>06/14/2026</t>
  </si>
  <si>
    <t>CANVA* I04912-666537AUSTIN              TX</t>
  </si>
  <si>
    <t>CH_2TIJJZK8 +17372853388
CANVA* I04912-66653786
AUSTIN
TX
+17372853388</t>
  </si>
  <si>
    <t>3212 EAST CESAR CHAVEZ ST</t>
  </si>
  <si>
    <t>78702</t>
  </si>
  <si>
    <t>320261650744679636</t>
  </si>
  <si>
    <t>Business Services-Professional Services</t>
  </si>
  <si>
    <t>578850830   parkmobile.io
PARKMOBILE ParkMobile
ATLANTA
GA
parkmobile.io</t>
  </si>
  <si>
    <t>320261660784757399</t>
  </si>
  <si>
    <t>TST* IADCT - INDOCHEALEXANDRIA          VA</t>
  </si>
  <si>
    <t>21105176166 RESTAURANT
TST* IADCT - INDOCHEN- OL 00185483
ALEXANDRIA
VA
RESTAURANT</t>
  </si>
  <si>
    <t>4906 BRENMAN PARK DR</t>
  </si>
  <si>
    <t>22304-7745</t>
  </si>
  <si>
    <t>320261660786436902</t>
  </si>
  <si>
    <t>06/13/2026</t>
  </si>
  <si>
    <t>MK5Y9XTBY8A RECORD STORE
APPLE.COM/BILL
INTERNET CHARGE
CA
RECORD STORE</t>
  </si>
  <si>
    <t>320261650745221171</t>
  </si>
  <si>
    <t>ZOOM.COM 888-799-966SAN JOSE            CA</t>
  </si>
  <si>
    <t>CH_3THWQAKL +18887999666
ZOOM.COM 888-799-9666
SAN JOSE
CA
+18887999666</t>
  </si>
  <si>
    <t>55 ALMADEN BLVD STE 600</t>
  </si>
  <si>
    <t>SAN JOSE
CA</t>
  </si>
  <si>
    <t>95113</t>
  </si>
  <si>
    <t>320261640715367023</t>
  </si>
  <si>
    <t>06/12/2026</t>
  </si>
  <si>
    <t>00925124743 LOCAL TRANSPORTATION
AplPay NYCT PAYGO
NEW YORK
NY
LOCAL TRANSPORTATION</t>
  </si>
  <si>
    <t>320261640728974538</t>
  </si>
  <si>
    <t>00925163621 LOCAL TRANSPORTATION
AplPay NYCT PAYGO
NEW YORK
NY
LOCAL TRANSPORTATION</t>
  </si>
  <si>
    <t>320261640729238853</t>
  </si>
  <si>
    <t>BLS*CATS            CANTON              OH</t>
  </si>
  <si>
    <t>00048052386 COMPUTER STORE
BLS*CATS
CANTON
OH
COMPUTER STORE</t>
  </si>
  <si>
    <t>4565 DRESSLER RD NORTH WEST
SUITE 213</t>
  </si>
  <si>
    <t>CANTON
OH</t>
  </si>
  <si>
    <t>44718</t>
  </si>
  <si>
    <t>320261640734904568</t>
  </si>
  <si>
    <t>06/11/2026</t>
  </si>
  <si>
    <t>MK5Y9V1QBTA RECORD STORE
APPLE.COM/BILL
INTERNET CHARGE
CA
RECORD STORE</t>
  </si>
  <si>
    <t>320261630685249371</t>
  </si>
  <si>
    <t>AplPay ANJAPPAR INDINEW YORK            NY</t>
  </si>
  <si>
    <t>04800021    212-265-3663
AplPay ANJAPPAR INDIAN CUISINE
NEW YORK
NY
Description : FOOD/BEVERAGE Price : 0.00
212-265-3663</t>
  </si>
  <si>
    <t>116 LEXINGTON AVE
FRNT A</t>
  </si>
  <si>
    <t>10016</t>
  </si>
  <si>
    <t>320261630697506146</t>
  </si>
  <si>
    <t>00924947551 LOCAL TRANSPORTATION
AplPay NYCT PAYGO
NEW YORK
NY
LOCAL TRANSPORTATION</t>
  </si>
  <si>
    <t>320261630687354788</t>
  </si>
  <si>
    <t>00924948276 LOCAL TRANSPORTATION
AplPay NYCT PAYGO
NEW YORK
NY
LOCAL TRANSPORTATION</t>
  </si>
  <si>
    <t>320261630687356073</t>
  </si>
  <si>
    <t>00925016753 LOCAL TRANSPORTATION
AplPay NYCT PAYGO
NEW YORK
NY
LOCAL TRANSPORTATION</t>
  </si>
  <si>
    <t>320261630691017774</t>
  </si>
  <si>
    <t>LINKEDIN RECRUITER PMOUNTAIN VIEW</t>
  </si>
  <si>
    <t xml:space="preserve">P3031635973 650-687-3555 / paymen
LINKEDIN RECRUITER P3031635973
MOUNTAIN VIEW
</t>
  </si>
  <si>
    <t>2029 STIERLIN CT
STE 200</t>
  </si>
  <si>
    <t>94043-4655</t>
  </si>
  <si>
    <t>320261610645193059</t>
  </si>
  <si>
    <t>OPENAI *CHATGPT SUBSSAN FRANCISCO       CA</t>
  </si>
  <si>
    <t>CH_3THFTQC6 +14158799686
OPENAI *CHATGPT SUBSCR
SAN FRANCISCO
CA
+14158799686</t>
  </si>
  <si>
    <t>1455 3RD ST</t>
  </si>
  <si>
    <t>94158</t>
  </si>
  <si>
    <t>320261620652033998</t>
  </si>
  <si>
    <t>SEAMLSS*LITTLEBEET  NEW YORK            NY</t>
  </si>
  <si>
    <t>7VZ56K0J    8002561020
SEAMLSS*LITTLEBEET
NEW YORK
NY
8002561020</t>
  </si>
  <si>
    <t>SUITE 2100
111 W WASHINGTON</t>
  </si>
  <si>
    <t>60602</t>
  </si>
  <si>
    <t>320261620660156669</t>
  </si>
  <si>
    <t>06/10/2026</t>
  </si>
  <si>
    <t>525128940  525128940        38132
ARIEL PARTNERS                        NY
DIRECT BILLING TRANSACTION
FEDEX INV# 000525128940
FEDEX #1-800-622-1147
FEDEX - EXPRESS
800-622-1147
TN
ARIEL PARTNERS                        NY
DIRECT BILLING TRANSACTION
FEDEX INV# 000525128940
FEDEX #1-800-622-1147
525128940        38132</t>
  </si>
  <si>
    <t>320261620663182069</t>
  </si>
  <si>
    <t>4109116687  480-505-8855
GODADDY
480-505-8855
AZ
Description : GODADDY Price : 0.00
480-505-8855</t>
  </si>
  <si>
    <t>320261620670048678</t>
  </si>
  <si>
    <t>06/09/2026</t>
  </si>
  <si>
    <t>A1010BUSD01         MSBILL.INFO</t>
  </si>
  <si>
    <t>Z73NS1LGNTYZ73NS1LGNTYB     98052
A1010BUSD01
MSBILL.INFO
Z73NS1LGNTYB     98052</t>
  </si>
  <si>
    <t>8TH FLOOR
91 MAIN ST</t>
  </si>
  <si>
    <t>DALLAS
TX</t>
  </si>
  <si>
    <t>75202</t>
  </si>
  <si>
    <t>320261600614669410</t>
  </si>
  <si>
    <t>Z73NS1IOR1FZ73NS1IOR1FD     98052
A1010BUSD01
MSBILL.INFO
Z73NS1IOR1FD     98052</t>
  </si>
  <si>
    <t>320261600612291284</t>
  </si>
  <si>
    <t>Z743S1N4KSHZ743S1N4KSHY     98052
MICROSOFT
MSBILL.INFO
Z743S1N4KSHY     98052</t>
  </si>
  <si>
    <t>320261600605025875</t>
  </si>
  <si>
    <t>Z741S2GJH0SZ741S2GJH0SI     98052
MICROSOFT
MSBILL.INFO
Z741S2GJH0SI     98052</t>
  </si>
  <si>
    <t>320261600608455011</t>
  </si>
  <si>
    <t>06/08/2026</t>
  </si>
  <si>
    <t>524893462  524893462        38132
ARIEL PARTNERS                        NY
DIRECT BILLING TRANSACTION
FEDEX INV# 000524893462
FEDEX #1-800-622-1147
FEDEX - EXPRESS
800-622-1147
TN
ARIEL PARTNERS                        NY
DIRECT BILLING TRANSACTION
FEDEX INV# 000524893462
FEDEX #1-800-622-1147
524893462        38132</t>
  </si>
  <si>
    <t>320261610631025300</t>
  </si>
  <si>
    <t>TABLE 87            BROOKLYN            NY</t>
  </si>
  <si>
    <t>82000466    917-575-8170
TABLE 87
BROOKLYN
NY
Description : FOOD/BEVERAGE Price : 0.00
917-575-8170</t>
  </si>
  <si>
    <t>473 3RD AVE</t>
  </si>
  <si>
    <t>BROOKLYN
NY</t>
  </si>
  <si>
    <t>11215</t>
  </si>
  <si>
    <t>320261600607192003</t>
  </si>
  <si>
    <t>06/07/2026</t>
  </si>
  <si>
    <t>MK5Y9T3ZF9A RECORD STORE
APPLE.COM/BILL
INTERNET CHARGE
CA
RECORD STORE</t>
  </si>
  <si>
    <t>320261580534730330</t>
  </si>
  <si>
    <t>06/06/2026</t>
  </si>
  <si>
    <t>MK5Y9LN5B2A RECORD STORE
APPLE.COM/BILL
INTERNET CHARGE
CA
RECORD STORE</t>
  </si>
  <si>
    <t>320261580536189946</t>
  </si>
  <si>
    <t>06/05/2026</t>
  </si>
  <si>
    <t>BAMBOOHR HRIS       866-387-9595        UT</t>
  </si>
  <si>
    <t>P-02759094  866-387-9595
BAMBOOHR HRIS
866-387-9595
UT
866-387-9595</t>
  </si>
  <si>
    <t>333 SOUTH 520 WEST 200</t>
  </si>
  <si>
    <t>LINDON
UT</t>
  </si>
  <si>
    <t>84042</t>
  </si>
  <si>
    <t>320261570524380278</t>
  </si>
  <si>
    <t>CONSTANT CONTACT    WALTHAM             MA</t>
  </si>
  <si>
    <t>25E9D319-E71138556420648    10018
CONSTANT-CONTACT
CONSTANT CONTACT
WALTHAM
MA
CONSTANT-CONTACT
1138556420648    10018</t>
  </si>
  <si>
    <t>1601 TRAPELO RD
STE 329</t>
  </si>
  <si>
    <t>WALTHAM
MA</t>
  </si>
  <si>
    <t>02451-7357</t>
  </si>
  <si>
    <t>320261570524299741</t>
  </si>
  <si>
    <t>Business Services-Advertising Services</t>
  </si>
  <si>
    <t>CONSUMER REPORTS    800-333-0663        NY</t>
  </si>
  <si>
    <t>510729442   SUBSCRI:CNSM
CONSUMER REPORTS
800-333-0663
NY
SUBSCRI:CNSM</t>
  </si>
  <si>
    <t>101 TRUMAN AVE</t>
  </si>
  <si>
    <t>YONKERS
NY</t>
  </si>
  <si>
    <t>10703-1057</t>
  </si>
  <si>
    <t>320261560483456528</t>
  </si>
  <si>
    <t>Other-Charities</t>
  </si>
  <si>
    <t>06/04/2026</t>
  </si>
  <si>
    <t>ANTHROPIC* CLAUDE SUSAN FRANCISCO       CA</t>
  </si>
  <si>
    <t>CH_3TELTCBJ +14152360599
ANTHROPIC* CLAUDE SUB
SAN FRANCISCO
CA
+14152360599</t>
  </si>
  <si>
    <t>548 MARKET ST</t>
  </si>
  <si>
    <t>320261560493327815</t>
  </si>
  <si>
    <t>CNA INSURANCE CNA INCHICAGO             IL</t>
  </si>
  <si>
    <t>3043439307  877-276-7507
CNA INSURANCE CNA INSURANCE
CHICAGO
IL
877-276-7507</t>
  </si>
  <si>
    <t>151 NORTH FRANKLIN ST
FLOOR 12 PAYMENT MANAGEME</t>
  </si>
  <si>
    <t>60606</t>
  </si>
  <si>
    <t>320261560491786199</t>
  </si>
  <si>
    <t>Business Services-Insurance Services</t>
  </si>
  <si>
    <t>PROJECT GEOSPATIAL  ASHBURN             VA</t>
  </si>
  <si>
    <t>CH_3TEDG0AB +16465803456
PROJECT GEOSPATIAL
ASHBURN
VA
+16465803456</t>
  </si>
  <si>
    <t>20380 HARMONY CT</t>
  </si>
  <si>
    <t>ASHBURN
VA</t>
  </si>
  <si>
    <t>20147</t>
  </si>
  <si>
    <t>320261550448703860</t>
  </si>
  <si>
    <t>06/03/2026</t>
  </si>
  <si>
    <t>HILTON ALBANY HOTEL ALBANY              NY</t>
  </si>
  <si>
    <t xml:space="preserve">1091074     5184626611
LODGING
HILTON ALBANY HOTEL
ALBANY
NY
</t>
  </si>
  <si>
    <t>40 LDG ST</t>
  </si>
  <si>
    <t>ALBANY
NY</t>
  </si>
  <si>
    <t>12207-2119</t>
  </si>
  <si>
    <t>320261550452106397</t>
  </si>
  <si>
    <t>LSU THE COPPER CROW ALBANY              NY</t>
  </si>
  <si>
    <t>######fj7rS savoyalbany@gmail.com
LSU THE COPPER CROW
ALBANY
NY
savoyalbany@gmail.com</t>
  </si>
  <si>
    <t>904 BROADWAY</t>
  </si>
  <si>
    <t>12207</t>
  </si>
  <si>
    <t>320261540410271209</t>
  </si>
  <si>
    <t>UPWORK              SAN FRANCISCO</t>
  </si>
  <si>
    <t>T924518431 15467065         10018
INVOICE CHARGE
UPWORK
SAN FRANCISCO
INVOICE CHARGE
15467065         10018</t>
  </si>
  <si>
    <t>530 LYTTON AVE SUITE 301</t>
  </si>
  <si>
    <t>PALO ALTO
CA</t>
  </si>
  <si>
    <t>94301</t>
  </si>
  <si>
    <t>320261540427823729</t>
  </si>
  <si>
    <t>06/02/2026</t>
  </si>
  <si>
    <t>346 SECOND ST LLC   Albany              NY</t>
  </si>
  <si>
    <t>1YLScd35Cj0 squareup.com/receipts
346 SECOND ST LLC
Albany
NY
squareup.com/receipts</t>
  </si>
  <si>
    <t>EMPIRE STATE PLAZA</t>
  </si>
  <si>
    <t>12242</t>
  </si>
  <si>
    <t>320261530382940043</t>
  </si>
  <si>
    <t>AMERICAN AIRLINES   800-433-7300        TX</t>
  </si>
  <si>
    <t>20260601    4806933473 / kristyne
UPGRADE CHARGE
AMERICAN AIRLINES
800-433-7300
TX
Carrier : American Airlines
Passenger Name : CRAEG STRONG
Ticket Number : 0014498497439
Departure Day : 06/19
Additional Info : UPGRADE CHARGE
From : NEW YORK LA GUARDI
To : MIAMI INTERNATIONA
Class : Y
From : MIAMI INTERNATIONA
To : NEW YORK LA GUARDI
Class : Y</t>
  </si>
  <si>
    <t>1 SKYVIEW DR</t>
  </si>
  <si>
    <t>FORT WORTH
TX</t>
  </si>
  <si>
    <t>76155</t>
  </si>
  <si>
    <t>320261530399412492</t>
  </si>
  <si>
    <t>Travel-Airline</t>
  </si>
  <si>
    <t>ML0J3V4WK3A RECORD STORE
APPLE.COM/BILL
INTERNET CHARGE
CA
RECORD STORE</t>
  </si>
  <si>
    <t>320261540412775314</t>
  </si>
  <si>
    <t>Amazon Web Services AWS.Amazon.com      WA</t>
  </si>
  <si>
    <t>1V54UHS66PO WEB SERVICES
Amazon Web Services
AWS.Amazon.com
WA
WEB SERVICES</t>
  </si>
  <si>
    <t>1512 2ND AVE</t>
  </si>
  <si>
    <t>320261530388769510</t>
  </si>
  <si>
    <t>GOVTRIBE SUBSCRIPTIOWASHINGTON          DC</t>
  </si>
  <si>
    <t>CH_3TDVZS2J +12027398501
GOVTRIBE SUBSCRIPTION
WASHINGTON
DC
+12027398501</t>
  </si>
  <si>
    <t>600 NEW HAMPSHIRE AVE NORTH WEST
SUITE LLN</t>
  </si>
  <si>
    <t>WASHINGTON
DC</t>
  </si>
  <si>
    <t>20037</t>
  </si>
  <si>
    <t>320261530375802906</t>
  </si>
  <si>
    <t>GSA IFF REMITTANCE 0WASHINGTON          DC</t>
  </si>
  <si>
    <t>999999961540602202610343504220405
GSA IFF
GSA IFF REMITTANCE 000000001
WASHINGTON
DC
GSA IFF
0602202610343504220405</t>
  </si>
  <si>
    <t>1800 F ST NORTH WEST</t>
  </si>
  <si>
    <t>20405</t>
  </si>
  <si>
    <t>320261540424461492</t>
  </si>
  <si>
    <t>Other-Government Services</t>
  </si>
  <si>
    <t>PAYFLOW/PAYPAL      LA VISTA            NE</t>
  </si>
  <si>
    <t>03004048273030040482732000  68126
PAYFLOW/PAYPAL
PAYFLOW/PAYPAL
LA VISTA
NE
PAYFLOW/PAYPAL
030040482732000  68126</t>
  </si>
  <si>
    <t>2211 NORTH 1ST ST</t>
  </si>
  <si>
    <t>95131-2021</t>
  </si>
  <si>
    <t>320261540430198063</t>
  </si>
  <si>
    <t>06/01/2026</t>
  </si>
  <si>
    <t>524249179  524249179        38132
ARIEL PARTNERS                        NY
DIRECT BILLING TRANSACTION
FEDEX INV# 000524249179
FEDEX #1-800-622-1147
FEDEX - EXPRESS
800-622-1147
TN
ARIEL PARTNERS                        NY
DIRECT BILLING TRANSACTION
FEDEX INV# 000524249179
FEDEX #1-800-622-1147
524249179        38132</t>
  </si>
  <si>
    <t>320261540419407270</t>
  </si>
  <si>
    <t>SP PLUS CORP*PARKING877-717-0004        NY</t>
  </si>
  <si>
    <t>11826370700 PARKING
SP PLUS CORP*PARKING
877-717-0004
NY
PARKING</t>
  </si>
  <si>
    <t>250 VESEY ST</t>
  </si>
  <si>
    <t>10080</t>
  </si>
  <si>
    <t>320261530386373651</t>
  </si>
  <si>
    <t>SQSP* WEBSIT#2368531NEW YORK            NY</t>
  </si>
  <si>
    <t>CH_2TDBGHXE +16465803456
SQSP* WEBSIT#236853168
NEW YORK
NY
+16465803456</t>
  </si>
  <si>
    <t>225 VARICK ST FL 12</t>
  </si>
  <si>
    <t>10014</t>
  </si>
  <si>
    <t>320261520347910728</t>
  </si>
  <si>
    <t>TST* CASA SUSANNA 00LEEDS               NY</t>
  </si>
  <si>
    <t>21105176153 RESTAURANT
TST* CASA SUSANNA 00323282
LEEDS
NY
RESTAURANT</t>
  </si>
  <si>
    <t>810 CO RD
23B</t>
  </si>
  <si>
    <t>LEEDS
NY</t>
  </si>
  <si>
    <t>12451</t>
  </si>
  <si>
    <t>320261530393959348</t>
  </si>
  <si>
    <t>TOTAL</t>
  </si>
  <si>
    <t>PIVOT (for internal review only)</t>
  </si>
  <si>
    <t>TYPE OF CHARGE</t>
  </si>
  <si>
    <t>FREQUENCY</t>
  </si>
  <si>
    <t>VENDOR</t>
  </si>
  <si>
    <t>DECRIPTION DETAILS</t>
  </si>
  <si>
    <t>UNANET</t>
  </si>
  <si>
    <t>Account Code</t>
  </si>
  <si>
    <t>Account Details</t>
  </si>
  <si>
    <t>PROJECT CODE</t>
  </si>
  <si>
    <t>*account_code</t>
  </si>
  <si>
    <t>description</t>
  </si>
  <si>
    <t>50.21.05</t>
  </si>
  <si>
    <t>Direct Travel Cost</t>
  </si>
  <si>
    <t>Direct</t>
  </si>
  <si>
    <t>Only when we are billing for it</t>
  </si>
  <si>
    <t>50.21.11</t>
  </si>
  <si>
    <t>Direct Travel Meals</t>
  </si>
  <si>
    <t>50.31.15</t>
  </si>
  <si>
    <t>Direct Subcontractor Travel</t>
  </si>
  <si>
    <t>50.41.11</t>
  </si>
  <si>
    <t>Direct Consultant Travel</t>
  </si>
  <si>
    <t>50.51.05</t>
  </si>
  <si>
    <t>Direct Other Direct Cost</t>
  </si>
  <si>
    <t>50.61.05</t>
  </si>
  <si>
    <t>Direct Material Cost</t>
  </si>
  <si>
    <t>60.31.05</t>
  </si>
  <si>
    <t>Workers Comp Expense</t>
  </si>
  <si>
    <t>Fringe</t>
  </si>
  <si>
    <t>60.31.15</t>
  </si>
  <si>
    <t>Employer Insurance Expense (Medical)</t>
  </si>
  <si>
    <t>60.31.16</t>
  </si>
  <si>
    <t>Employer Insurance Expense (Dental)</t>
  </si>
  <si>
    <t>60.31.31</t>
  </si>
  <si>
    <t>Tuition Reimbursement/Training</t>
  </si>
  <si>
    <t>63.21.05</t>
  </si>
  <si>
    <t>Facilities Rent Expense</t>
  </si>
  <si>
    <t>Facility</t>
  </si>
  <si>
    <t>Office</t>
  </si>
  <si>
    <t>63.21.11</t>
  </si>
  <si>
    <t>Facility Repairs and Maint</t>
  </si>
  <si>
    <t>63.21.15</t>
  </si>
  <si>
    <t>Facility Computer Expense</t>
  </si>
  <si>
    <t>63.21.16</t>
  </si>
  <si>
    <t>Facilities - Internet Service</t>
  </si>
  <si>
    <t>63.21.21</t>
  </si>
  <si>
    <t>Facility Telephone</t>
  </si>
  <si>
    <t>63.21.25</t>
  </si>
  <si>
    <t>Facility Utilities</t>
  </si>
  <si>
    <t>63.21.31</t>
  </si>
  <si>
    <t>Facility Office Furnishings</t>
  </si>
  <si>
    <t>63.21.35</t>
  </si>
  <si>
    <t>Facility Office Equipment</t>
  </si>
  <si>
    <t>63.21.41</t>
  </si>
  <si>
    <t>Facility Office Supplies</t>
  </si>
  <si>
    <t>63.21.45</t>
  </si>
  <si>
    <t>Facility Software</t>
  </si>
  <si>
    <t>71.21.05</t>
  </si>
  <si>
    <t>OH Company Site Travel</t>
  </si>
  <si>
    <t>Overhead</t>
  </si>
  <si>
    <t>71.21.11</t>
  </si>
  <si>
    <t>OH Company Site Meals</t>
  </si>
  <si>
    <t>71.21.17</t>
  </si>
  <si>
    <t>OH Company Site Recruiting</t>
  </si>
  <si>
    <t>71.21.21</t>
  </si>
  <si>
    <t>OH Company Site Other Expense</t>
  </si>
  <si>
    <t>80.21.05</t>
  </si>
  <si>
    <t>G&amp;A Travel</t>
  </si>
  <si>
    <t>G&amp;A</t>
  </si>
  <si>
    <t>gas</t>
  </si>
  <si>
    <t>80.21.11</t>
  </si>
  <si>
    <t>G&amp;A Meals</t>
  </si>
  <si>
    <t>80.21.15</t>
  </si>
  <si>
    <t>G&amp;A Accounting Fees</t>
  </si>
  <si>
    <t>80.21.21</t>
  </si>
  <si>
    <t>G&amp;A Legal Expense</t>
  </si>
  <si>
    <t>80.21.25</t>
  </si>
  <si>
    <t>G&amp;A Professional Fees</t>
  </si>
  <si>
    <t>80.21.26</t>
  </si>
  <si>
    <t>G&amp;A Consultants</t>
  </si>
  <si>
    <t>80.21.31</t>
  </si>
  <si>
    <t>G&amp;A Outside Services</t>
  </si>
  <si>
    <t>80.21.35</t>
  </si>
  <si>
    <t>G&amp;A Training and Education</t>
  </si>
  <si>
    <t>All training dues - okaloa, flight levels etc</t>
  </si>
  <si>
    <t>80.21.40</t>
  </si>
  <si>
    <t>Business Development Expense</t>
  </si>
  <si>
    <t>Gift related to partners</t>
  </si>
  <si>
    <t>80.21.41</t>
  </si>
  <si>
    <t>G&amp;A Conferences</t>
  </si>
  <si>
    <t>80.21.45</t>
  </si>
  <si>
    <t>G&amp;A Business Insurance Expense</t>
  </si>
  <si>
    <t>80.21.51</t>
  </si>
  <si>
    <t>G&amp;A Hardware Expense</t>
  </si>
  <si>
    <t>80.21.55</t>
  </si>
  <si>
    <t>G&amp;A Software Expense</t>
  </si>
  <si>
    <t>80.21.61</t>
  </si>
  <si>
    <t>G&amp;A Dues &amp; Subscriptions</t>
  </si>
  <si>
    <t>80.21.65</t>
  </si>
  <si>
    <t>G&amp;A Licenses &amp; Permits</t>
  </si>
  <si>
    <t>80.21.71</t>
  </si>
  <si>
    <t>G&amp;A Bank Service Charge</t>
  </si>
  <si>
    <t>80.21.75</t>
  </si>
  <si>
    <t>G&amp;A Postage &amp; Delivery</t>
  </si>
  <si>
    <t>80.21.81</t>
  </si>
  <si>
    <t>G&amp;A Printing &amp; Reproduction</t>
  </si>
  <si>
    <t>80.21.85</t>
  </si>
  <si>
    <t>G&amp;A Mobile Phones</t>
  </si>
  <si>
    <t>80.21.95</t>
  </si>
  <si>
    <t>G&amp;A Auto Expense</t>
  </si>
  <si>
    <t>recurring monthly payments</t>
  </si>
  <si>
    <t>80.31.11</t>
  </si>
  <si>
    <t>G&amp;A State Income Tax</t>
  </si>
  <si>
    <t>80.31.15</t>
  </si>
  <si>
    <t>G&amp;A Local Income Tax</t>
  </si>
  <si>
    <t>80.31.17</t>
  </si>
  <si>
    <t>Franchise Tax</t>
  </si>
  <si>
    <t>80.31.21</t>
  </si>
  <si>
    <t>G&amp;A Other Expense</t>
  </si>
  <si>
    <t>80.31.25</t>
  </si>
  <si>
    <t>G&amp;A Office Fees</t>
  </si>
  <si>
    <t>80.31.31</t>
  </si>
  <si>
    <t>G&amp;A Recruiting</t>
  </si>
  <si>
    <t>88.21.05</t>
  </si>
  <si>
    <t>B&amp;P Travel</t>
  </si>
  <si>
    <t>B&amp;P</t>
  </si>
  <si>
    <t>88.21.11</t>
  </si>
  <si>
    <t>B&amp;P Meals</t>
  </si>
  <si>
    <t>88.21.15</t>
  </si>
  <si>
    <t>B&amp;P Consulting</t>
  </si>
  <si>
    <t>88.21.21</t>
  </si>
  <si>
    <t>B&amp;P Other Costs</t>
  </si>
  <si>
    <t>89.21.05</t>
  </si>
  <si>
    <t>IR&amp;D Travel</t>
  </si>
  <si>
    <t>IR&amp;D</t>
  </si>
  <si>
    <t>89.21.11</t>
  </si>
  <si>
    <t>IR&amp;D Meals</t>
  </si>
  <si>
    <t>89.21.15</t>
  </si>
  <si>
    <t>IR&amp;D Consulting</t>
  </si>
  <si>
    <t>89.21.21</t>
  </si>
  <si>
    <t>IR&amp;D Other Costs</t>
  </si>
  <si>
    <t>90.11.05</t>
  </si>
  <si>
    <t>U/A Contributions</t>
  </si>
  <si>
    <t>Unallowable</t>
  </si>
  <si>
    <t>90.11.11</t>
  </si>
  <si>
    <t>U/A Bad Debt Expense</t>
  </si>
  <si>
    <t>90.11.15</t>
  </si>
  <si>
    <t>U/A Penalties</t>
  </si>
  <si>
    <t>90.11.21</t>
  </si>
  <si>
    <t>U/A Finance Costs</t>
  </si>
  <si>
    <t>90.11.25</t>
  </si>
  <si>
    <t>U/A Legal Fees</t>
  </si>
  <si>
    <t>90.11.31</t>
  </si>
  <si>
    <t>U/A Advertising</t>
  </si>
  <si>
    <t>90.11.41</t>
  </si>
  <si>
    <t>U/A Travel &amp; Entertainment</t>
  </si>
  <si>
    <t>90.11.45</t>
  </si>
  <si>
    <t>U/A Bonus Exp</t>
  </si>
  <si>
    <t>90.11.51</t>
  </si>
  <si>
    <t>U/A Miscellaneous</t>
  </si>
  <si>
    <t>Conference tickets</t>
  </si>
  <si>
    <t>90.11.55</t>
  </si>
  <si>
    <t>U/A Employee Morale</t>
  </si>
  <si>
    <t>Gift to Ariel Team</t>
  </si>
  <si>
    <t>90.11.65</t>
  </si>
  <si>
    <t>U/A Taxes</t>
  </si>
  <si>
    <t>95.11.05</t>
  </si>
  <si>
    <t>Other Interest Expense</t>
  </si>
  <si>
    <t>Other</t>
  </si>
  <si>
    <t>95.11.11</t>
  </si>
  <si>
    <t>Other Interest Income</t>
  </si>
  <si>
    <t>95.11.15</t>
  </si>
  <si>
    <t>Other Income</t>
  </si>
  <si>
    <t>95.11.21</t>
  </si>
  <si>
    <t>Other Expense</t>
  </si>
  <si>
    <t>96.11.05</t>
  </si>
  <si>
    <t>Federal Income Tax</t>
  </si>
  <si>
    <t xml:space="preserve">13.31.05 </t>
  </si>
  <si>
    <t>Prepaid</t>
  </si>
  <si>
    <t>CNA PAY, DNB</t>
  </si>
  <si>
    <t>JUNE 2026</t>
  </si>
  <si>
    <t>PARKING</t>
  </si>
  <si>
    <t>MONTHLY</t>
  </si>
  <si>
    <t>SP PLUS PARKING</t>
    <phoneticPr fontId="0" type="noConversion"/>
  </si>
  <si>
    <t>Month</t>
  </si>
  <si>
    <t>MEAL</t>
  </si>
  <si>
    <t>ONE TIME</t>
  </si>
  <si>
    <t>CAVA</t>
  </si>
  <si>
    <t>346 SECOND ST.</t>
  </si>
  <si>
    <t>ALBANY MEAL</t>
  </si>
  <si>
    <t>SOFTWARE</t>
  </si>
  <si>
    <t>MICROSOFT</t>
  </si>
  <si>
    <t>AWS</t>
  </si>
  <si>
    <t>FLIGHT</t>
  </si>
  <si>
    <t>AMERICAN AIRLINES</t>
  </si>
  <si>
    <t>ANNUAL</t>
  </si>
  <si>
    <t>CLAUDE</t>
  </si>
  <si>
    <t>LIKE CHATGPT?</t>
  </si>
  <si>
    <t>FILL UP FORM</t>
  </si>
  <si>
    <t>TRAIN</t>
  </si>
  <si>
    <t>ONE TIME</t>
    <phoneticPr fontId="0" type="noConversion"/>
  </si>
  <si>
    <t>NYCT PAYGO</t>
  </si>
  <si>
    <t>ANJAPPAR</t>
  </si>
  <si>
    <t>INDOCHEN</t>
  </si>
  <si>
    <t>OROFINO</t>
  </si>
  <si>
    <t>TRAINING</t>
  </si>
  <si>
    <t>UDEMY</t>
  </si>
  <si>
    <t>PROFESSIONAL FEES</t>
  </si>
  <si>
    <t>UPWORK</t>
  </si>
  <si>
    <t>DEVRADIUS</t>
  </si>
  <si>
    <t>VIETSPOT</t>
  </si>
  <si>
    <t>FACILITY PHONE</t>
  </si>
  <si>
    <t>VONAGE</t>
  </si>
  <si>
    <t>MOBILE</t>
  </si>
  <si>
    <t>VERIZON</t>
  </si>
  <si>
    <t>SOFTWARE</t>
    <phoneticPr fontId="0" type="noConversion"/>
  </si>
  <si>
    <t>ZOOM</t>
  </si>
  <si>
    <t>MISSION BBQ</t>
  </si>
  <si>
    <t>Lunch with Hunter Glasscock</t>
  </si>
  <si>
    <t>DUES &amp; SUBSCRIPTION</t>
  </si>
  <si>
    <t>NYTIMES</t>
  </si>
  <si>
    <t>News subscription</t>
  </si>
  <si>
    <t>CHATGPT</t>
  </si>
  <si>
    <t>PARK MOBILE</t>
  </si>
  <si>
    <t>TOLL</t>
  </si>
  <si>
    <t>PASSNY</t>
  </si>
  <si>
    <t>EZ PASS TOLL</t>
  </si>
  <si>
    <t>PAYPAL</t>
  </si>
  <si>
    <t>Monthly Subscription</t>
  </si>
  <si>
    <t>PROJECT GEOSPATIAL</t>
  </si>
  <si>
    <t>AMEX</t>
  </si>
  <si>
    <t>CRAEG CARD</t>
  </si>
  <si>
    <t>SHILPA CARD</t>
  </si>
  <si>
    <t>ARIEL TEAM LUNCH</t>
  </si>
  <si>
    <t>WEBSITE</t>
  </si>
  <si>
    <t>SQUARESPACE</t>
  </si>
  <si>
    <t>TABLE87</t>
  </si>
  <si>
    <t>HOTEL</t>
  </si>
  <si>
    <t>MARRIOTT</t>
  </si>
  <si>
    <t>CASA SUSANNA</t>
  </si>
  <si>
    <t>ELEPHANT JUMPS</t>
  </si>
  <si>
    <t>LUCEN</t>
  </si>
  <si>
    <t>RECRUITING</t>
  </si>
  <si>
    <t>LinkedIn</t>
  </si>
  <si>
    <t>lsu the copper crow</t>
  </si>
  <si>
    <t>HILTON</t>
  </si>
  <si>
    <t>GODADDY</t>
  </si>
  <si>
    <t>YOUTUBE</t>
  </si>
  <si>
    <t>GOVTRIBE</t>
  </si>
  <si>
    <t>REMITTANCE</t>
  </si>
  <si>
    <t>GSA REMITTANCE</t>
  </si>
  <si>
    <t>DOK KHAO</t>
  </si>
  <si>
    <t>AUTO</t>
  </si>
  <si>
    <t>EDGE EXPRESS</t>
  </si>
  <si>
    <t>SHIPPING &amp; POSTAGE</t>
  </si>
  <si>
    <t>EFAX</t>
  </si>
  <si>
    <t>FEDEX</t>
  </si>
  <si>
    <t xml:space="preserve">TECHSMITH  </t>
  </si>
  <si>
    <t>TECHSMITH</t>
  </si>
  <si>
    <t>INSURANCE</t>
  </si>
  <si>
    <t>QUARTERLY</t>
  </si>
  <si>
    <t>CNA INSURANCE</t>
  </si>
  <si>
    <t>ADVERTISING</t>
  </si>
  <si>
    <t>CONSTANT CONTACT</t>
  </si>
  <si>
    <t>UNKNOWN</t>
  </si>
  <si>
    <t>CONSUMER REPORTS</t>
  </si>
  <si>
    <t>BAMBOO</t>
  </si>
  <si>
    <t>CATSONE</t>
  </si>
  <si>
    <t>CANVA</t>
  </si>
  <si>
    <t>ONEIDENTITY</t>
  </si>
  <si>
    <t>APPLE</t>
  </si>
  <si>
    <t>ICLOUD</t>
  </si>
  <si>
    <t>BOOKS &amp; MAGAZINE</t>
  </si>
  <si>
    <t>BOOKS &amp; PRIME VIDEO</t>
  </si>
  <si>
    <t>ONE PREMIER</t>
  </si>
  <si>
    <t>BOOKS</t>
  </si>
  <si>
    <t>INVOICE PAYABLE</t>
  </si>
  <si>
    <t>Y</t>
  </si>
  <si>
    <t>Deltek billing - Fed Ess,TOONS,LP,Agency Prof,Org Charts 3/1/26-2/28/27 Q2 of 4</t>
  </si>
  <si>
    <t>PO 45 for project HPD.2026.9942.LENOVO</t>
  </si>
  <si>
    <t>V-K&amp;GE - K&amp;GE LLC</t>
  </si>
  <si>
    <t>Vendor</t>
  </si>
  <si>
    <t>Account Description</t>
  </si>
  <si>
    <t>PURPOSE</t>
  </si>
  <si>
    <t>ADOBE</t>
  </si>
  <si>
    <t>AFCEA - Conference Ticket</t>
  </si>
  <si>
    <t>AFCEA - Membership</t>
  </si>
  <si>
    <t>AMAZON - Membership</t>
  </si>
  <si>
    <t>AMERICAN AIRLINES - FLIGHT</t>
  </si>
  <si>
    <t>AMERICAN AIRLINES - WIFI</t>
  </si>
  <si>
    <t>Apple</t>
  </si>
  <si>
    <t>APPLE - BOOKS &amp; MAGAZINE &amp; MOVIES</t>
  </si>
  <si>
    <t>APPLE - MONTHLY APPLICATIONS</t>
  </si>
  <si>
    <t>BOSTON CAMBRIDE</t>
  </si>
  <si>
    <t xml:space="preserve">BROOKLYN LAB COFFEE </t>
  </si>
  <si>
    <t>CARDBOARD</t>
  </si>
  <si>
    <t>CARDBOARD IT</t>
  </si>
  <si>
    <t>CITY &amp; STATE</t>
  </si>
  <si>
    <t>CITY OF CAMBRIDGE</t>
  </si>
  <si>
    <t>CRAINS</t>
  </si>
  <si>
    <t>CVENT</t>
  </si>
  <si>
    <t>DELTA</t>
  </si>
  <si>
    <t>DUN &amp; BRADSTREET</t>
  </si>
  <si>
    <t>ENGAGED AGILITY</t>
  </si>
  <si>
    <t>EVENTBRITE</t>
  </si>
  <si>
    <t>EXPRESSVPN</t>
  </si>
  <si>
    <t>FLIGHT LEVELS</t>
  </si>
  <si>
    <t>GIFTOGRAM</t>
  </si>
  <si>
    <t>Github</t>
  </si>
  <si>
    <t>HERTZ FRANCE</t>
  </si>
  <si>
    <t>HYATT</t>
  </si>
  <si>
    <t>ISIFEDERAL</t>
  </si>
  <si>
    <t>INQUIRES SCREENING</t>
  </si>
  <si>
    <t>LINKEDIN</t>
  </si>
  <si>
    <t>LITHESPEED</t>
  </si>
  <si>
    <t>LOCANDA VERDE</t>
  </si>
  <si>
    <t>Jetbrains</t>
  </si>
  <si>
    <t>Geico</t>
  </si>
  <si>
    <t>MEDIUM ANNUAL</t>
  </si>
  <si>
    <t>MIRO</t>
  </si>
  <si>
    <t>MODERNIZATION-WORKSH</t>
  </si>
  <si>
    <t>MONSTER INSIGHTS</t>
  </si>
  <si>
    <t>NYTimes</t>
  </si>
  <si>
    <t>ONE IDENTITY</t>
  </si>
  <si>
    <t xml:space="preserve">ONEIDENTITY  </t>
  </si>
  <si>
    <t>PARALLELS</t>
  </si>
  <si>
    <t>PROJECT MANAGEMENT (PMI)</t>
  </si>
  <si>
    <t>PROSCI INC</t>
  </si>
  <si>
    <t>RIDGETOP COFFEE</t>
  </si>
  <si>
    <t>SCRUM ALLIANCE</t>
  </si>
  <si>
    <t>Seamless</t>
  </si>
  <si>
    <t>SOFTWORLD</t>
  </si>
  <si>
    <t>SP PLUS PARKING</t>
  </si>
  <si>
    <t>STARBUCKS</t>
  </si>
  <si>
    <t>TAXI</t>
  </si>
  <si>
    <t>THE CLARENDON</t>
  </si>
  <si>
    <t>The Omni Group</t>
  </si>
  <si>
    <t>UBER</t>
  </si>
  <si>
    <t>UNITED AIRLINES - FLIGHT</t>
  </si>
  <si>
    <t>UNITED AIRLINES - WIFI</t>
  </si>
  <si>
    <t>Vista Print</t>
  </si>
  <si>
    <t>VERIZON WIRELESS</t>
  </si>
  <si>
    <t>WAWA</t>
  </si>
  <si>
    <t>WIDEPOINT</t>
  </si>
  <si>
    <t>SPIRIT AIRLINES</t>
  </si>
  <si>
    <t>ZETEO</t>
  </si>
  <si>
    <t>AT&amp;T</t>
  </si>
  <si>
    <t>NCMS</t>
  </si>
  <si>
    <t>Top Secret</t>
  </si>
  <si>
    <t>MTA</t>
  </si>
  <si>
    <t>NYC TAXI</t>
  </si>
  <si>
    <t>GSA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</si>
</sst>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3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indexed="1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1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charset val="1"/>
    </font>
    <font>
      <b/>
      <sz val="11"/>
      <name val="Calibri"/>
      <family val="2"/>
    </font>
    <font>
      <b/>
      <sz val="11"/>
      <color theme="0"/>
      <name val="Calibri"/>
      <family val="2"/>
    </font>
    <font>
      <b/>
      <sz val="11"/>
      <color rgb="FFFF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44" fontId="10" fillId="0" borderId="0" applyFont="0" applyFill="0" applyBorder="0" applyAlignment="0" applyProtection="0"/>
    <xf numFmtId="0" fontId="3" fillId="0" borderId="1"/>
    <xf numFmtId="0" fontId="10" fillId="0" borderId="1"/>
    <xf numFmtId="0" fontId="2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</cellStyleXfs>
  <cellXfs count="87">
    <xf numFmtId="0" fontId="0" fillId="0" borderId="0" xfId="0"/>
    <xf numFmtId="0" fontId="12" fillId="4" borderId="3" xfId="0" applyFont="1" applyFill="1" applyBorder="1" applyAlignment="1">
      <alignment horizontal="center"/>
    </xf>
    <xf numFmtId="44" fontId="12" fillId="4" borderId="4" xfId="1" applyFont="1" applyFill="1" applyBorder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44" fontId="0" fillId="0" borderId="0" xfId="1" applyFont="1" applyAlignment="1"/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7" fillId="3" borderId="2" xfId="0" applyFont="1" applyFill="1" applyBorder="1" applyAlignment="1">
      <alignment horizontal="center"/>
    </xf>
    <xf numFmtId="44" fontId="7" fillId="3" borderId="2" xfId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wrapText="1"/>
    </xf>
    <xf numFmtId="0" fontId="4" fillId="5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left"/>
    </xf>
    <xf numFmtId="0" fontId="6" fillId="5" borderId="0" xfId="0" applyFont="1" applyFill="1"/>
    <xf numFmtId="0" fontId="5" fillId="5" borderId="0" xfId="0" applyFont="1" applyFill="1" applyAlignment="1">
      <alignment horizontal="center"/>
    </xf>
    <xf numFmtId="0" fontId="11" fillId="6" borderId="2" xfId="2" applyFont="1" applyFill="1" applyBorder="1"/>
    <xf numFmtId="0" fontId="3" fillId="0" borderId="1" xfId="2"/>
    <xf numFmtId="0" fontId="3" fillId="0" borderId="2" xfId="2" applyBorder="1"/>
    <xf numFmtId="0" fontId="3" fillId="7" borderId="2" xfId="2" applyFill="1" applyBorder="1"/>
    <xf numFmtId="0" fontId="13" fillId="8" borderId="2" xfId="2" applyFont="1" applyFill="1" applyBorder="1"/>
    <xf numFmtId="0" fontId="3" fillId="8" borderId="2" xfId="2" applyFill="1" applyBorder="1"/>
    <xf numFmtId="0" fontId="6" fillId="0" borderId="2" xfId="0" applyFont="1" applyBorder="1" applyAlignment="1">
      <alignment horizontal="left"/>
    </xf>
    <xf numFmtId="49" fontId="6" fillId="0" borderId="2" xfId="0" applyNumberFormat="1" applyFont="1" applyBorder="1" applyAlignment="1">
      <alignment horizontal="left"/>
    </xf>
    <xf numFmtId="0" fontId="6" fillId="0" borderId="2" xfId="3" applyFont="1" applyBorder="1"/>
    <xf numFmtId="0" fontId="6" fillId="0" borderId="2" xfId="3" applyFont="1" applyBorder="1" applyAlignment="1">
      <alignment horizontal="left"/>
    </xf>
    <xf numFmtId="44" fontId="9" fillId="0" borderId="2" xfId="1" applyFont="1" applyFill="1" applyBorder="1" applyAlignment="1">
      <alignment horizontal="right"/>
    </xf>
    <xf numFmtId="0" fontId="0" fillId="0" borderId="2" xfId="0" applyBorder="1"/>
    <xf numFmtId="0" fontId="6" fillId="0" borderId="2" xfId="0" applyFont="1" applyBorder="1"/>
    <xf numFmtId="44" fontId="8" fillId="0" borderId="2" xfId="1" applyFont="1" applyFill="1" applyBorder="1" applyAlignment="1">
      <alignment horizontal="right"/>
    </xf>
    <xf numFmtId="0" fontId="16" fillId="0" borderId="2" xfId="4" applyFont="1" applyBorder="1"/>
    <xf numFmtId="0" fontId="6" fillId="0" borderId="2" xfId="0" applyFont="1" applyBorder="1" applyAlignment="1">
      <alignment wrapText="1"/>
    </xf>
    <xf numFmtId="0" fontId="18" fillId="0" borderId="2" xfId="2" applyFont="1" applyBorder="1"/>
    <xf numFmtId="0" fontId="15" fillId="0" borderId="2" xfId="0" applyFont="1" applyBorder="1" applyAlignment="1">
      <alignment horizontal="left"/>
    </xf>
    <xf numFmtId="0" fontId="16" fillId="0" borderId="2" xfId="3" applyFont="1" applyBorder="1" applyAlignment="1">
      <alignment horizontal="left"/>
    </xf>
    <xf numFmtId="49" fontId="15" fillId="0" borderId="2" xfId="0" applyNumberFormat="1" applyFont="1" applyBorder="1" applyAlignment="1">
      <alignment horizontal="left"/>
    </xf>
    <xf numFmtId="0" fontId="15" fillId="0" borderId="2" xfId="0" applyFont="1" applyBorder="1"/>
    <xf numFmtId="0" fontId="16" fillId="0" borderId="2" xfId="5" applyFont="1" applyBorder="1"/>
    <xf numFmtId="0" fontId="16" fillId="0" borderId="2" xfId="3" applyFont="1" applyBorder="1"/>
    <xf numFmtId="0" fontId="15" fillId="0" borderId="2" xfId="0" applyFont="1" applyBorder="1" applyAlignment="1">
      <alignment horizontal="center"/>
    </xf>
    <xf numFmtId="0" fontId="16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 wrapText="1"/>
    </xf>
    <xf numFmtId="0" fontId="13" fillId="0" borderId="2" xfId="2" applyFont="1" applyBorder="1"/>
    <xf numFmtId="0" fontId="18" fillId="0" borderId="2" xfId="4" applyFont="1" applyBorder="1"/>
    <xf numFmtId="0" fontId="14" fillId="0" borderId="2" xfId="2" applyFont="1" applyBorder="1"/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9" borderId="2" xfId="0" applyFont="1" applyFill="1" applyBorder="1" applyAlignment="1">
      <alignment horizontal="left"/>
    </xf>
    <xf numFmtId="49" fontId="6" fillId="9" borderId="2" xfId="0" applyNumberFormat="1" applyFont="1" applyFill="1" applyBorder="1" applyAlignment="1">
      <alignment horizontal="left"/>
    </xf>
    <xf numFmtId="0" fontId="6" fillId="9" borderId="2" xfId="0" applyFont="1" applyFill="1" applyBorder="1" applyAlignment="1">
      <alignment horizontal="center"/>
    </xf>
    <xf numFmtId="0" fontId="6" fillId="9" borderId="2" xfId="3" applyFont="1" applyFill="1" applyBorder="1" applyAlignment="1">
      <alignment horizontal="left"/>
    </xf>
    <xf numFmtId="0" fontId="6" fillId="9" borderId="2" xfId="0" applyFont="1" applyFill="1" applyBorder="1"/>
    <xf numFmtId="44" fontId="9" fillId="9" borderId="2" xfId="1" applyFont="1" applyFill="1" applyBorder="1" applyAlignment="1">
      <alignment horizontal="right"/>
    </xf>
    <xf numFmtId="0" fontId="6" fillId="9" borderId="2" xfId="0" applyFont="1" applyFill="1" applyBorder="1" applyAlignment="1">
      <alignment wrapText="1"/>
    </xf>
    <xf numFmtId="0" fontId="0" fillId="9" borderId="2" xfId="0" applyFill="1" applyBorder="1"/>
    <xf numFmtId="44" fontId="8" fillId="9" borderId="2" xfId="1" applyFont="1" applyFill="1" applyBorder="1" applyAlignment="1">
      <alignment horizontal="right"/>
    </xf>
    <xf numFmtId="0" fontId="18" fillId="9" borderId="2" xfId="3" applyFont="1" applyFill="1" applyBorder="1"/>
    <xf numFmtId="0" fontId="6" fillId="9" borderId="2" xfId="3" applyFont="1" applyFill="1" applyBorder="1"/>
    <xf numFmtId="0" fontId="16" fillId="9" borderId="2" xfId="3" applyFont="1" applyFill="1" applyBorder="1" applyAlignment="1">
      <alignment horizontal="left"/>
    </xf>
    <xf numFmtId="0" fontId="16" fillId="9" borderId="2" xfId="4" applyFont="1" applyFill="1" applyBorder="1"/>
    <xf numFmtId="0" fontId="3" fillId="9" borderId="2" xfId="2" applyFill="1" applyBorder="1"/>
    <xf numFmtId="0" fontId="18" fillId="9" borderId="2" xfId="4" applyFont="1" applyFill="1" applyBorder="1"/>
    <xf numFmtId="0" fontId="16" fillId="9" borderId="2" xfId="5" applyFont="1" applyFill="1" applyBorder="1"/>
    <xf numFmtId="0" fontId="16" fillId="9" borderId="2" xfId="3" applyFont="1" applyFill="1" applyBorder="1"/>
    <xf numFmtId="0" fontId="19" fillId="9" borderId="2" xfId="0" applyFont="1" applyFill="1" applyBorder="1"/>
    <xf numFmtId="0" fontId="6" fillId="9" borderId="2" xfId="0" applyFont="1" applyFill="1" applyBorder="1" applyAlignment="1">
      <alignment horizontal="left" wrapText="1"/>
    </xf>
    <xf numFmtId="0" fontId="20" fillId="9" borderId="2" xfId="0" applyFont="1" applyFill="1" applyBorder="1"/>
    <xf numFmtId="0" fontId="21" fillId="10" borderId="2" xfId="3" applyFont="1" applyFill="1" applyBorder="1" applyAlignment="1">
      <alignment horizontal="center"/>
    </xf>
    <xf numFmtId="0" fontId="6" fillId="0" borderId="1" xfId="3" applyFont="1"/>
    <xf numFmtId="0" fontId="18" fillId="0" borderId="2" xfId="3" applyFont="1" applyBorder="1" applyAlignment="1">
      <alignment horizontal="left"/>
    </xf>
    <xf numFmtId="0" fontId="16" fillId="0" borderId="2" xfId="6" applyFont="1" applyBorder="1"/>
    <xf numFmtId="0" fontId="16" fillId="0" borderId="2" xfId="7" applyFont="1" applyBorder="1"/>
    <xf numFmtId="0" fontId="18" fillId="0" borderId="2" xfId="8" applyFont="1" applyBorder="1"/>
    <xf numFmtId="0" fontId="18" fillId="0" borderId="2" xfId="6" applyFont="1" applyBorder="1"/>
    <xf numFmtId="0" fontId="18" fillId="0" borderId="2" xfId="9" applyFont="1" applyBorder="1"/>
    <xf numFmtId="0" fontId="18" fillId="0" borderId="2" xfId="3" applyFont="1" applyBorder="1"/>
    <xf numFmtId="0" fontId="18" fillId="0" borderId="2" xfId="7" applyFont="1" applyBorder="1"/>
    <xf numFmtId="0" fontId="22" fillId="0" borderId="2" xfId="3" applyFont="1" applyBorder="1" applyAlignment="1">
      <alignment horizontal="left"/>
    </xf>
    <xf numFmtId="0" fontId="22" fillId="0" borderId="2" xfId="9" applyFont="1" applyBorder="1"/>
    <xf numFmtId="0" fontId="16" fillId="0" borderId="2" xfId="9" applyFont="1" applyBorder="1"/>
    <xf numFmtId="0" fontId="6" fillId="11" borderId="2" xfId="3" applyFont="1" applyFill="1" applyBorder="1" applyAlignment="1">
      <alignment horizontal="left"/>
    </xf>
    <xf numFmtId="0" fontId="16" fillId="8" borderId="2" xfId="9" applyFont="1" applyFill="1" applyBorder="1"/>
    <xf numFmtId="0" fontId="16" fillId="8" borderId="2" xfId="3" applyFont="1" applyFill="1" applyBorder="1"/>
    <xf numFmtId="0" fontId="3" fillId="5" borderId="2" xfId="2" applyFill="1" applyBorder="1"/>
    <xf numFmtId="0" fontId="4" fillId="2" borderId="1" xfId="0" applyFont="1" applyFill="1" applyBorder="1" applyAlignment="1">
      <alignment horizontal="center" vertical="center"/>
    </xf>
  </cellXfs>
  <cellStyles count="10">
    <cellStyle name="Currency" xfId="1" builtinId="4"/>
    <cellStyle name="Normal" xfId="0" builtinId="0"/>
    <cellStyle name="Normal 2" xfId="3" xr:uid="{02ADED54-1E68-49E1-902C-3EC4FBE42950}"/>
    <cellStyle name="Normal 2 2 2 2 2 2" xfId="4" xr:uid="{1A188BE9-4055-4C69-9415-CB3F50D6148E}"/>
    <cellStyle name="Normal 2 2 2 2 2 3" xfId="2" xr:uid="{1845E426-2C30-4E96-A165-DA2F81B15EFA}"/>
    <cellStyle name="Normal 2 2 2 2 2 3 3" xfId="9" xr:uid="{A3BBBB17-C854-4D77-BEB7-8593CEC1B011}"/>
    <cellStyle name="Normal 2 2 2 2 4" xfId="8" xr:uid="{14EAEA0C-21C7-403D-93BD-333E0438DC84}"/>
    <cellStyle name="Normal 2 2 2 3" xfId="5" xr:uid="{FCFA43AA-5020-4351-BD96-A918F2786B0B}"/>
    <cellStyle name="Normal 2 2 2 3 3" xfId="7" xr:uid="{0A45EBF8-D9A2-48F0-B103-EEFCC4CE30E5}"/>
    <cellStyle name="Normal 2 2 2 6" xfId="6" xr:uid="{24BB6E81-6C28-4F3C-834B-9F6D6CFFD891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6"/>
  <sheetViews>
    <sheetView topLeftCell="A58" workbookViewId="0">
      <selection activeCell="F81" sqref="F81"/>
    </sheetView>
  </sheetViews>
  <sheetFormatPr defaultColWidth="25.81640625" defaultRowHeight="14.5" x14ac:dyDescent="0.35"/>
  <cols>
    <col min="1" max="1" width="18.1796875" bestFit="1" customWidth="1"/>
    <col min="2" max="2" width="16.90625" bestFit="1" customWidth="1"/>
    <col min="3" max="3" width="20.36328125" style="48" customWidth="1"/>
    <col min="4" max="6" width="23.36328125" bestFit="1" customWidth="1"/>
    <col min="7" max="7" width="25.26953125" bestFit="1" customWidth="1"/>
    <col min="8" max="8" width="41.90625" bestFit="1" customWidth="1"/>
    <col min="9" max="9" width="18.81640625" hidden="1" customWidth="1"/>
    <col min="10" max="10" width="13.54296875" hidden="1" customWidth="1"/>
    <col min="11" max="11" width="13.54296875" style="4" bestFit="1" customWidth="1"/>
    <col min="12" max="12" width="116.453125" customWidth="1"/>
    <col min="13" max="13" width="41.90625" hidden="1" customWidth="1"/>
    <col min="14" max="14" width="50.90625" hidden="1" customWidth="1"/>
    <col min="15" max="15" width="19.26953125" hidden="1" customWidth="1"/>
    <col min="16" max="16" width="12.7265625" hidden="1" customWidth="1"/>
    <col min="17" max="17" width="13.6328125" hidden="1" customWidth="1"/>
    <col min="18" max="18" width="18.7265625" hidden="1" customWidth="1"/>
    <col min="19" max="19" width="38.90625" bestFit="1" customWidth="1"/>
    <col min="20" max="20" width="17.08984375" bestFit="1" customWidth="1"/>
    <col min="21" max="21" width="25" bestFit="1" customWidth="1"/>
    <col min="22" max="22" width="22.90625" customWidth="1"/>
  </cols>
  <sheetData>
    <row r="1" spans="1:22" x14ac:dyDescent="0.35">
      <c r="A1" s="3" t="s">
        <v>1</v>
      </c>
      <c r="B1" s="3"/>
      <c r="C1" s="86" t="s">
        <v>2</v>
      </c>
      <c r="D1" s="86"/>
      <c r="E1" s="86"/>
      <c r="F1" s="86"/>
      <c r="G1" s="86"/>
    </row>
    <row r="2" spans="1:22" x14ac:dyDescent="0.35">
      <c r="A2" s="5" t="s">
        <v>3</v>
      </c>
      <c r="B2" s="5"/>
      <c r="C2" s="45" t="s">
        <v>0</v>
      </c>
      <c r="D2" s="5"/>
      <c r="E2" s="5"/>
      <c r="F2" s="5"/>
      <c r="G2" s="5"/>
    </row>
    <row r="3" spans="1:22" x14ac:dyDescent="0.35">
      <c r="A3" s="6" t="s">
        <v>4</v>
      </c>
      <c r="B3" s="6"/>
      <c r="C3" s="46" t="s">
        <v>0</v>
      </c>
      <c r="D3" s="6"/>
      <c r="E3" s="6"/>
      <c r="F3" s="6"/>
      <c r="G3" s="6"/>
    </row>
    <row r="4" spans="1:22" x14ac:dyDescent="0.35">
      <c r="A4" s="5" t="s">
        <v>5</v>
      </c>
      <c r="B4" s="5"/>
      <c r="C4" s="45" t="s">
        <v>0</v>
      </c>
      <c r="D4" s="5"/>
      <c r="E4" s="5"/>
      <c r="F4" s="5"/>
      <c r="G4" s="5"/>
    </row>
    <row r="5" spans="1:22" x14ac:dyDescent="0.35">
      <c r="A5" s="6" t="s">
        <v>6</v>
      </c>
      <c r="B5" s="6"/>
      <c r="C5" s="46" t="s">
        <v>0</v>
      </c>
      <c r="D5" s="6"/>
      <c r="E5" s="6"/>
      <c r="F5" s="6"/>
      <c r="G5" s="6"/>
    </row>
    <row r="6" spans="1:22" ht="29" x14ac:dyDescent="0.35">
      <c r="A6" s="5" t="s">
        <v>0</v>
      </c>
      <c r="B6" s="9" t="s">
        <v>460</v>
      </c>
      <c r="C6" s="9" t="s">
        <v>460</v>
      </c>
      <c r="D6" s="9" t="s">
        <v>460</v>
      </c>
      <c r="E6" s="9" t="s">
        <v>460</v>
      </c>
      <c r="F6" s="9" t="s">
        <v>460</v>
      </c>
      <c r="G6" s="9" t="s">
        <v>460</v>
      </c>
      <c r="T6" s="13" t="s">
        <v>465</v>
      </c>
      <c r="U6" s="13" t="s">
        <v>465</v>
      </c>
      <c r="V6" s="12"/>
    </row>
    <row r="7" spans="1:22" x14ac:dyDescent="0.35">
      <c r="A7" s="7" t="s">
        <v>7</v>
      </c>
      <c r="B7" s="10" t="s">
        <v>643</v>
      </c>
      <c r="C7" s="10" t="s">
        <v>8</v>
      </c>
      <c r="D7" s="11" t="s">
        <v>461</v>
      </c>
      <c r="E7" s="10" t="s">
        <v>462</v>
      </c>
      <c r="F7" s="10" t="s">
        <v>463</v>
      </c>
      <c r="G7" s="10" t="s">
        <v>464</v>
      </c>
      <c r="H7" s="7" t="s">
        <v>9</v>
      </c>
      <c r="I7" s="7" t="s">
        <v>10</v>
      </c>
      <c r="J7" s="7" t="s">
        <v>11</v>
      </c>
      <c r="K7" s="8" t="s">
        <v>12</v>
      </c>
      <c r="L7" s="7" t="s">
        <v>13</v>
      </c>
      <c r="M7" s="7" t="s">
        <v>14</v>
      </c>
      <c r="N7" s="7" t="s">
        <v>15</v>
      </c>
      <c r="O7" s="7" t="s">
        <v>16</v>
      </c>
      <c r="P7" s="7" t="s">
        <v>17</v>
      </c>
      <c r="Q7" s="7" t="s">
        <v>18</v>
      </c>
      <c r="R7" s="7" t="s">
        <v>19</v>
      </c>
      <c r="S7" s="7" t="s">
        <v>20</v>
      </c>
      <c r="T7" s="10" t="s">
        <v>466</v>
      </c>
      <c r="U7" s="10" t="s">
        <v>467</v>
      </c>
      <c r="V7" s="10" t="s">
        <v>468</v>
      </c>
    </row>
    <row r="8" spans="1:22" x14ac:dyDescent="0.35">
      <c r="A8" s="20" t="s">
        <v>440</v>
      </c>
      <c r="B8" s="21" t="s">
        <v>639</v>
      </c>
      <c r="C8" s="47"/>
      <c r="D8" s="20" t="s">
        <v>713</v>
      </c>
      <c r="E8" s="20" t="s">
        <v>645</v>
      </c>
      <c r="F8" s="20" t="s">
        <v>715</v>
      </c>
      <c r="G8" s="20"/>
      <c r="H8" s="20" t="s">
        <v>22</v>
      </c>
      <c r="I8" s="20" t="s">
        <v>23</v>
      </c>
      <c r="J8" s="20" t="s">
        <v>24</v>
      </c>
      <c r="K8" s="24">
        <v>34.61</v>
      </c>
      <c r="L8" s="20" t="s">
        <v>441</v>
      </c>
      <c r="M8" s="20" t="s">
        <v>22</v>
      </c>
      <c r="N8" s="20" t="s">
        <v>26</v>
      </c>
      <c r="O8" s="20" t="s">
        <v>27</v>
      </c>
      <c r="P8" s="20" t="s">
        <v>28</v>
      </c>
      <c r="Q8" s="20" t="s">
        <v>29</v>
      </c>
      <c r="R8" s="20" t="s">
        <v>442</v>
      </c>
      <c r="S8" s="20" t="s">
        <v>31</v>
      </c>
      <c r="T8" s="16" t="s">
        <v>561</v>
      </c>
      <c r="U8" s="16" t="s">
        <v>562</v>
      </c>
      <c r="V8" s="25"/>
    </row>
    <row r="9" spans="1:22" x14ac:dyDescent="0.35">
      <c r="A9" s="49" t="s">
        <v>440</v>
      </c>
      <c r="B9" s="50" t="s">
        <v>639</v>
      </c>
      <c r="C9" s="51" t="s">
        <v>736</v>
      </c>
      <c r="D9" s="49" t="s">
        <v>693</v>
      </c>
      <c r="E9" s="49" t="s">
        <v>641</v>
      </c>
      <c r="F9" s="49" t="s">
        <v>694</v>
      </c>
      <c r="G9" s="53"/>
      <c r="H9" s="49" t="s">
        <v>448</v>
      </c>
      <c r="I9" s="49" t="s">
        <v>23</v>
      </c>
      <c r="J9" s="49" t="s">
        <v>24</v>
      </c>
      <c r="K9" s="54">
        <v>36</v>
      </c>
      <c r="L9" s="49" t="s">
        <v>449</v>
      </c>
      <c r="M9" s="49" t="s">
        <v>448</v>
      </c>
      <c r="N9" s="49" t="s">
        <v>450</v>
      </c>
      <c r="O9" s="49" t="s">
        <v>37</v>
      </c>
      <c r="P9" s="49" t="s">
        <v>451</v>
      </c>
      <c r="Q9" s="49" t="s">
        <v>29</v>
      </c>
      <c r="R9" s="49" t="s">
        <v>452</v>
      </c>
      <c r="S9" s="49" t="s">
        <v>117</v>
      </c>
      <c r="T9" s="61" t="s">
        <v>553</v>
      </c>
      <c r="U9" s="61" t="s">
        <v>554</v>
      </c>
      <c r="V9" s="56"/>
    </row>
    <row r="10" spans="1:22" x14ac:dyDescent="0.35">
      <c r="A10" s="20" t="s">
        <v>440</v>
      </c>
      <c r="B10" s="21" t="s">
        <v>639</v>
      </c>
      <c r="C10" s="47"/>
      <c r="D10" s="22" t="s">
        <v>644</v>
      </c>
      <c r="E10" s="23" t="s">
        <v>645</v>
      </c>
      <c r="F10" s="20" t="s">
        <v>698</v>
      </c>
      <c r="G10" s="26"/>
      <c r="H10" s="20" t="s">
        <v>453</v>
      </c>
      <c r="I10" s="20" t="s">
        <v>141</v>
      </c>
      <c r="J10" s="20" t="s">
        <v>142</v>
      </c>
      <c r="K10" s="27">
        <v>189</v>
      </c>
      <c r="L10" s="20" t="s">
        <v>454</v>
      </c>
      <c r="M10" s="20" t="s">
        <v>453</v>
      </c>
      <c r="N10" s="20" t="s">
        <v>455</v>
      </c>
      <c r="O10" s="20" t="s">
        <v>456</v>
      </c>
      <c r="P10" s="20" t="s">
        <v>457</v>
      </c>
      <c r="Q10" s="20" t="s">
        <v>29</v>
      </c>
      <c r="R10" s="20" t="s">
        <v>458</v>
      </c>
      <c r="S10" s="20" t="s">
        <v>192</v>
      </c>
      <c r="T10" s="28" t="s">
        <v>529</v>
      </c>
      <c r="U10" s="28" t="s">
        <v>530</v>
      </c>
      <c r="V10" s="25"/>
    </row>
    <row r="11" spans="1:22" x14ac:dyDescent="0.35">
      <c r="A11" s="49" t="s">
        <v>440</v>
      </c>
      <c r="B11" s="50" t="s">
        <v>639</v>
      </c>
      <c r="C11" s="51" t="s">
        <v>736</v>
      </c>
      <c r="D11" s="49" t="s">
        <v>640</v>
      </c>
      <c r="E11" s="49" t="s">
        <v>641</v>
      </c>
      <c r="F11" s="49" t="s">
        <v>642</v>
      </c>
      <c r="G11" s="53"/>
      <c r="H11" s="49" t="s">
        <v>443</v>
      </c>
      <c r="I11" s="49" t="s">
        <v>4</v>
      </c>
      <c r="J11" s="49" t="s">
        <v>34</v>
      </c>
      <c r="K11" s="57">
        <v>778</v>
      </c>
      <c r="L11" s="49" t="s">
        <v>444</v>
      </c>
      <c r="M11" s="49" t="s">
        <v>443</v>
      </c>
      <c r="N11" s="49" t="s">
        <v>445</v>
      </c>
      <c r="O11" s="49" t="s">
        <v>37</v>
      </c>
      <c r="P11" s="49" t="s">
        <v>446</v>
      </c>
      <c r="Q11" s="49" t="s">
        <v>29</v>
      </c>
      <c r="R11" s="49" t="s">
        <v>447</v>
      </c>
      <c r="S11" s="49" t="s">
        <v>235</v>
      </c>
      <c r="T11" s="62" t="s">
        <v>567</v>
      </c>
      <c r="U11" s="62" t="s">
        <v>568</v>
      </c>
      <c r="V11" s="56"/>
    </row>
    <row r="12" spans="1:22" x14ac:dyDescent="0.35">
      <c r="A12" s="49" t="s">
        <v>404</v>
      </c>
      <c r="B12" s="50" t="s">
        <v>639</v>
      </c>
      <c r="C12" s="51" t="s">
        <v>736</v>
      </c>
      <c r="D12" s="52" t="s">
        <v>649</v>
      </c>
      <c r="E12" s="52" t="s">
        <v>641</v>
      </c>
      <c r="F12" s="52" t="s">
        <v>651</v>
      </c>
      <c r="G12" s="53"/>
      <c r="H12" s="49" t="s">
        <v>419</v>
      </c>
      <c r="I12" s="49" t="s">
        <v>4</v>
      </c>
      <c r="J12" s="49" t="s">
        <v>34</v>
      </c>
      <c r="K12" s="54">
        <v>0.78</v>
      </c>
      <c r="L12" s="49" t="s">
        <v>420</v>
      </c>
      <c r="M12" s="49" t="s">
        <v>419</v>
      </c>
      <c r="N12" s="49" t="s">
        <v>421</v>
      </c>
      <c r="O12" s="49" t="s">
        <v>170</v>
      </c>
      <c r="P12" s="49" t="s">
        <v>171</v>
      </c>
      <c r="Q12" s="49" t="s">
        <v>29</v>
      </c>
      <c r="R12" s="49" t="s">
        <v>422</v>
      </c>
      <c r="S12" s="49" t="s">
        <v>93</v>
      </c>
      <c r="T12" s="55" t="s">
        <v>553</v>
      </c>
      <c r="U12" s="55" t="s">
        <v>554</v>
      </c>
      <c r="V12" s="56"/>
    </row>
    <row r="13" spans="1:22" x14ac:dyDescent="0.35">
      <c r="A13" s="20" t="s">
        <v>404</v>
      </c>
      <c r="B13" s="21" t="s">
        <v>639</v>
      </c>
      <c r="C13" s="47"/>
      <c r="D13" s="26" t="s">
        <v>678</v>
      </c>
      <c r="E13" s="20" t="s">
        <v>641</v>
      </c>
      <c r="F13" s="26" t="s">
        <v>729</v>
      </c>
      <c r="G13" s="20" t="s">
        <v>730</v>
      </c>
      <c r="H13" s="20" t="s">
        <v>126</v>
      </c>
      <c r="I13" s="20" t="s">
        <v>4</v>
      </c>
      <c r="J13" s="20" t="s">
        <v>34</v>
      </c>
      <c r="K13" s="27">
        <v>9.99</v>
      </c>
      <c r="L13" s="20" t="s">
        <v>417</v>
      </c>
      <c r="M13" s="20" t="s">
        <v>126</v>
      </c>
      <c r="N13" s="20" t="s">
        <v>128</v>
      </c>
      <c r="O13" s="20" t="s">
        <v>129</v>
      </c>
      <c r="P13" s="20" t="s">
        <v>130</v>
      </c>
      <c r="Q13" s="20" t="s">
        <v>29</v>
      </c>
      <c r="R13" s="20" t="s">
        <v>418</v>
      </c>
      <c r="S13" s="20" t="s">
        <v>93</v>
      </c>
      <c r="T13" s="28" t="s">
        <v>555</v>
      </c>
      <c r="U13" s="28" t="s">
        <v>556</v>
      </c>
      <c r="V13" s="25"/>
    </row>
    <row r="14" spans="1:22" x14ac:dyDescent="0.35">
      <c r="A14" s="49" t="s">
        <v>404</v>
      </c>
      <c r="B14" s="50" t="s">
        <v>639</v>
      </c>
      <c r="C14" s="51" t="s">
        <v>736</v>
      </c>
      <c r="D14" s="49" t="s">
        <v>678</v>
      </c>
      <c r="E14" s="49" t="s">
        <v>641</v>
      </c>
      <c r="F14" s="49" t="s">
        <v>686</v>
      </c>
      <c r="G14" s="60" t="s">
        <v>687</v>
      </c>
      <c r="H14" s="49" t="s">
        <v>435</v>
      </c>
      <c r="I14" s="49" t="s">
        <v>4</v>
      </c>
      <c r="J14" s="49" t="s">
        <v>34</v>
      </c>
      <c r="K14" s="57">
        <v>30</v>
      </c>
      <c r="L14" s="49" t="s">
        <v>436</v>
      </c>
      <c r="M14" s="49" t="s">
        <v>435</v>
      </c>
      <c r="N14" s="49" t="s">
        <v>437</v>
      </c>
      <c r="O14" s="49" t="s">
        <v>272</v>
      </c>
      <c r="P14" s="49" t="s">
        <v>438</v>
      </c>
      <c r="Q14" s="49" t="s">
        <v>29</v>
      </c>
      <c r="R14" s="49" t="s">
        <v>439</v>
      </c>
      <c r="S14" s="49" t="s">
        <v>258</v>
      </c>
      <c r="T14" s="61" t="s">
        <v>555</v>
      </c>
      <c r="U14" s="61" t="s">
        <v>556</v>
      </c>
      <c r="V14" s="56"/>
    </row>
    <row r="15" spans="1:22" x14ac:dyDescent="0.35">
      <c r="A15" s="49" t="s">
        <v>404</v>
      </c>
      <c r="B15" s="50" t="s">
        <v>639</v>
      </c>
      <c r="C15" s="51" t="s">
        <v>736</v>
      </c>
      <c r="D15" s="53" t="s">
        <v>649</v>
      </c>
      <c r="E15" s="49" t="s">
        <v>641</v>
      </c>
      <c r="F15" s="53" t="s">
        <v>707</v>
      </c>
      <c r="G15" s="49"/>
      <c r="H15" s="49" t="s">
        <v>423</v>
      </c>
      <c r="I15" s="49" t="s">
        <v>4</v>
      </c>
      <c r="J15" s="49" t="s">
        <v>34</v>
      </c>
      <c r="K15" s="57">
        <v>44</v>
      </c>
      <c r="L15" s="49" t="s">
        <v>424</v>
      </c>
      <c r="M15" s="49" t="s">
        <v>423</v>
      </c>
      <c r="N15" s="49" t="s">
        <v>425</v>
      </c>
      <c r="O15" s="49" t="s">
        <v>426</v>
      </c>
      <c r="P15" s="49" t="s">
        <v>427</v>
      </c>
      <c r="Q15" s="49" t="s">
        <v>29</v>
      </c>
      <c r="R15" s="49" t="s">
        <v>428</v>
      </c>
      <c r="S15" s="49" t="s">
        <v>199</v>
      </c>
      <c r="T15" s="62" t="s">
        <v>553</v>
      </c>
      <c r="U15" s="62" t="s">
        <v>554</v>
      </c>
      <c r="V15" s="56"/>
    </row>
    <row r="16" spans="1:22" x14ac:dyDescent="0.35">
      <c r="A16" s="20" t="s">
        <v>404</v>
      </c>
      <c r="B16" s="21" t="s">
        <v>639</v>
      </c>
      <c r="C16" s="47"/>
      <c r="D16" s="20" t="s">
        <v>644</v>
      </c>
      <c r="E16" s="20" t="s">
        <v>645</v>
      </c>
      <c r="F16" s="20" t="s">
        <v>647</v>
      </c>
      <c r="G16" s="26" t="s">
        <v>648</v>
      </c>
      <c r="H16" s="20" t="s">
        <v>405</v>
      </c>
      <c r="I16" s="20" t="s">
        <v>141</v>
      </c>
      <c r="J16" s="20" t="s">
        <v>142</v>
      </c>
      <c r="K16" s="27">
        <v>51.44</v>
      </c>
      <c r="L16" s="20" t="s">
        <v>406</v>
      </c>
      <c r="M16" s="20" t="s">
        <v>405</v>
      </c>
      <c r="N16" s="20" t="s">
        <v>407</v>
      </c>
      <c r="O16" s="20" t="s">
        <v>390</v>
      </c>
      <c r="P16" s="20" t="s">
        <v>408</v>
      </c>
      <c r="Q16" s="20" t="s">
        <v>29</v>
      </c>
      <c r="R16" s="20" t="s">
        <v>409</v>
      </c>
      <c r="S16" s="20" t="s">
        <v>192</v>
      </c>
      <c r="T16" s="16" t="s">
        <v>529</v>
      </c>
      <c r="U16" s="85" t="s">
        <v>530</v>
      </c>
      <c r="V16" s="25"/>
    </row>
    <row r="17" spans="1:22" x14ac:dyDescent="0.35">
      <c r="A17" s="49" t="s">
        <v>404</v>
      </c>
      <c r="B17" s="50" t="s">
        <v>639</v>
      </c>
      <c r="C17" s="51" t="s">
        <v>736</v>
      </c>
      <c r="D17" s="59" t="s">
        <v>708</v>
      </c>
      <c r="E17" s="49" t="s">
        <v>641</v>
      </c>
      <c r="F17" s="53" t="s">
        <v>709</v>
      </c>
      <c r="G17" s="49"/>
      <c r="H17" s="49" t="s">
        <v>429</v>
      </c>
      <c r="I17" s="49" t="s">
        <v>23</v>
      </c>
      <c r="J17" s="49" t="s">
        <v>24</v>
      </c>
      <c r="K17" s="54">
        <v>156.47</v>
      </c>
      <c r="L17" s="49" t="s">
        <v>430</v>
      </c>
      <c r="M17" s="49" t="s">
        <v>429</v>
      </c>
      <c r="N17" s="49" t="s">
        <v>431</v>
      </c>
      <c r="O17" s="49" t="s">
        <v>426</v>
      </c>
      <c r="P17" s="49" t="s">
        <v>432</v>
      </c>
      <c r="Q17" s="49" t="s">
        <v>29</v>
      </c>
      <c r="R17" s="49" t="s">
        <v>433</v>
      </c>
      <c r="S17" s="49" t="s">
        <v>434</v>
      </c>
      <c r="T17" s="64" t="s">
        <v>535</v>
      </c>
      <c r="U17" s="65" t="s">
        <v>536</v>
      </c>
      <c r="V17" s="56"/>
    </row>
    <row r="18" spans="1:22" x14ac:dyDescent="0.35">
      <c r="A18" s="20" t="s">
        <v>404</v>
      </c>
      <c r="B18" s="21" t="s">
        <v>639</v>
      </c>
      <c r="C18" s="47"/>
      <c r="D18" s="20" t="s">
        <v>652</v>
      </c>
      <c r="E18" s="20" t="s">
        <v>645</v>
      </c>
      <c r="F18" s="20" t="s">
        <v>653</v>
      </c>
      <c r="G18" s="26"/>
      <c r="H18" s="20" t="s">
        <v>410</v>
      </c>
      <c r="I18" s="20" t="s">
        <v>4</v>
      </c>
      <c r="J18" s="20" t="s">
        <v>34</v>
      </c>
      <c r="K18" s="24">
        <v>264.60000000000002</v>
      </c>
      <c r="L18" s="20" t="s">
        <v>411</v>
      </c>
      <c r="M18" s="20" t="s">
        <v>410</v>
      </c>
      <c r="N18" s="20" t="s">
        <v>412</v>
      </c>
      <c r="O18" s="20" t="s">
        <v>413</v>
      </c>
      <c r="P18" s="20" t="s">
        <v>414</v>
      </c>
      <c r="Q18" s="20" t="s">
        <v>29</v>
      </c>
      <c r="R18" s="20" t="s">
        <v>415</v>
      </c>
      <c r="S18" s="20" t="s">
        <v>416</v>
      </c>
      <c r="T18" s="30" t="s">
        <v>525</v>
      </c>
      <c r="U18" s="30" t="s">
        <v>526</v>
      </c>
      <c r="V18" s="25"/>
    </row>
    <row r="19" spans="1:22" x14ac:dyDescent="0.35">
      <c r="A19" s="20" t="s">
        <v>386</v>
      </c>
      <c r="B19" s="21" t="s">
        <v>639</v>
      </c>
      <c r="C19" s="47"/>
      <c r="D19" s="20" t="s">
        <v>644</v>
      </c>
      <c r="E19" s="20" t="s">
        <v>645</v>
      </c>
      <c r="F19" s="20" t="s">
        <v>703</v>
      </c>
      <c r="G19" s="20"/>
      <c r="H19" s="20" t="s">
        <v>393</v>
      </c>
      <c r="I19" s="20" t="s">
        <v>141</v>
      </c>
      <c r="J19" s="20" t="s">
        <v>142</v>
      </c>
      <c r="K19" s="27">
        <v>138</v>
      </c>
      <c r="L19" s="20" t="s">
        <v>394</v>
      </c>
      <c r="M19" s="20" t="s">
        <v>393</v>
      </c>
      <c r="N19" s="20" t="s">
        <v>395</v>
      </c>
      <c r="O19" s="20" t="s">
        <v>390</v>
      </c>
      <c r="P19" s="20" t="s">
        <v>396</v>
      </c>
      <c r="Q19" s="20" t="s">
        <v>29</v>
      </c>
      <c r="R19" s="20" t="s">
        <v>397</v>
      </c>
      <c r="S19" s="20" t="s">
        <v>192</v>
      </c>
      <c r="T19" s="16" t="s">
        <v>529</v>
      </c>
      <c r="U19" s="16" t="s">
        <v>530</v>
      </c>
      <c r="V19" s="25"/>
    </row>
    <row r="20" spans="1:22" x14ac:dyDescent="0.35">
      <c r="A20" s="20" t="s">
        <v>386</v>
      </c>
      <c r="B20" s="21" t="s">
        <v>639</v>
      </c>
      <c r="C20" s="47"/>
      <c r="D20" s="39" t="s">
        <v>696</v>
      </c>
      <c r="E20" s="39" t="s">
        <v>645</v>
      </c>
      <c r="F20" s="20" t="s">
        <v>704</v>
      </c>
      <c r="G20" s="20"/>
      <c r="H20" s="20" t="s">
        <v>387</v>
      </c>
      <c r="I20" s="20" t="s">
        <v>141</v>
      </c>
      <c r="J20" s="20" t="s">
        <v>142</v>
      </c>
      <c r="K20" s="24">
        <v>489.51</v>
      </c>
      <c r="L20" s="20" t="s">
        <v>388</v>
      </c>
      <c r="M20" s="20" t="s">
        <v>387</v>
      </c>
      <c r="N20" s="20" t="s">
        <v>389</v>
      </c>
      <c r="O20" s="20" t="s">
        <v>390</v>
      </c>
      <c r="P20" s="20" t="s">
        <v>391</v>
      </c>
      <c r="Q20" s="20" t="s">
        <v>29</v>
      </c>
      <c r="R20" s="20" t="s">
        <v>392</v>
      </c>
      <c r="S20" s="20" t="s">
        <v>184</v>
      </c>
      <c r="T20" s="16" t="s">
        <v>525</v>
      </c>
      <c r="U20" s="16" t="s">
        <v>526</v>
      </c>
      <c r="V20" s="25"/>
    </row>
    <row r="21" spans="1:22" x14ac:dyDescent="0.35">
      <c r="A21" s="20" t="s">
        <v>386</v>
      </c>
      <c r="B21" s="21" t="s">
        <v>639</v>
      </c>
      <c r="C21" s="47"/>
      <c r="D21" s="20" t="s">
        <v>666</v>
      </c>
      <c r="E21" s="20" t="s">
        <v>645</v>
      </c>
      <c r="F21" s="20" t="s">
        <v>667</v>
      </c>
      <c r="G21" s="20" t="s">
        <v>668</v>
      </c>
      <c r="H21" s="20" t="s">
        <v>398</v>
      </c>
      <c r="I21" s="20" t="s">
        <v>4</v>
      </c>
      <c r="J21" s="20" t="s">
        <v>34</v>
      </c>
      <c r="K21" s="24">
        <v>1107.1600000000001</v>
      </c>
      <c r="L21" s="20" t="s">
        <v>399</v>
      </c>
      <c r="M21" s="20" t="s">
        <v>398</v>
      </c>
      <c r="N21" s="20" t="s">
        <v>400</v>
      </c>
      <c r="O21" s="20" t="s">
        <v>401</v>
      </c>
      <c r="P21" s="20" t="s">
        <v>402</v>
      </c>
      <c r="Q21" s="20" t="s">
        <v>29</v>
      </c>
      <c r="R21" s="20" t="s">
        <v>403</v>
      </c>
      <c r="S21" s="20" t="s">
        <v>71</v>
      </c>
      <c r="T21" s="16" t="s">
        <v>535</v>
      </c>
      <c r="U21" s="16" t="s">
        <v>536</v>
      </c>
      <c r="V21" s="25"/>
    </row>
    <row r="22" spans="1:22" x14ac:dyDescent="0.35">
      <c r="A22" s="20" t="s">
        <v>369</v>
      </c>
      <c r="B22" s="33" t="s">
        <v>639</v>
      </c>
      <c r="C22" s="37"/>
      <c r="D22" s="20" t="s">
        <v>649</v>
      </c>
      <c r="E22" s="20" t="s">
        <v>654</v>
      </c>
      <c r="F22" s="31" t="s">
        <v>688</v>
      </c>
      <c r="G22" s="34"/>
      <c r="H22" s="20" t="s">
        <v>380</v>
      </c>
      <c r="I22" s="20" t="s">
        <v>4</v>
      </c>
      <c r="J22" s="20" t="s">
        <v>34</v>
      </c>
      <c r="K22" s="27">
        <v>100</v>
      </c>
      <c r="L22" s="20" t="s">
        <v>381</v>
      </c>
      <c r="M22" s="20" t="s">
        <v>380</v>
      </c>
      <c r="N22" s="20" t="s">
        <v>382</v>
      </c>
      <c r="O22" s="20" t="s">
        <v>383</v>
      </c>
      <c r="P22" s="20" t="s">
        <v>384</v>
      </c>
      <c r="Q22" s="20" t="s">
        <v>29</v>
      </c>
      <c r="R22" s="20" t="s">
        <v>385</v>
      </c>
      <c r="S22" s="20" t="s">
        <v>124</v>
      </c>
      <c r="T22" s="16" t="s">
        <v>553</v>
      </c>
      <c r="U22" s="16" t="s">
        <v>554</v>
      </c>
      <c r="V22" s="25"/>
    </row>
    <row r="23" spans="1:22" x14ac:dyDescent="0.35">
      <c r="A23" s="49" t="s">
        <v>369</v>
      </c>
      <c r="B23" s="50" t="s">
        <v>639</v>
      </c>
      <c r="C23" s="51" t="s">
        <v>736</v>
      </c>
      <c r="D23" s="49" t="s">
        <v>649</v>
      </c>
      <c r="E23" s="49" t="s">
        <v>654</v>
      </c>
      <c r="F23" s="49" t="s">
        <v>655</v>
      </c>
      <c r="G23" s="53" t="s">
        <v>656</v>
      </c>
      <c r="H23" s="49" t="s">
        <v>370</v>
      </c>
      <c r="I23" s="49" t="s">
        <v>4</v>
      </c>
      <c r="J23" s="49" t="s">
        <v>34</v>
      </c>
      <c r="K23" s="57">
        <v>217.75</v>
      </c>
      <c r="L23" s="49" t="s">
        <v>371</v>
      </c>
      <c r="M23" s="49" t="s">
        <v>370</v>
      </c>
      <c r="N23" s="49" t="s">
        <v>372</v>
      </c>
      <c r="O23" s="49" t="s">
        <v>121</v>
      </c>
      <c r="P23" s="49" t="s">
        <v>122</v>
      </c>
      <c r="Q23" s="49" t="s">
        <v>29</v>
      </c>
      <c r="R23" s="49" t="s">
        <v>373</v>
      </c>
      <c r="S23" s="49" t="s">
        <v>117</v>
      </c>
      <c r="T23" s="62" t="s">
        <v>553</v>
      </c>
      <c r="U23" s="62" t="s">
        <v>554</v>
      </c>
      <c r="V23" s="56"/>
    </row>
    <row r="24" spans="1:22" x14ac:dyDescent="0.35">
      <c r="A24" s="49" t="s">
        <v>369</v>
      </c>
      <c r="B24" s="50" t="s">
        <v>639</v>
      </c>
      <c r="C24" s="51" t="s">
        <v>736</v>
      </c>
      <c r="D24" s="59" t="s">
        <v>718</v>
      </c>
      <c r="E24" s="52" t="s">
        <v>719</v>
      </c>
      <c r="F24" s="59" t="s">
        <v>720</v>
      </c>
      <c r="G24" s="49"/>
      <c r="H24" s="49" t="s">
        <v>374</v>
      </c>
      <c r="I24" s="49" t="s">
        <v>4</v>
      </c>
      <c r="J24" s="49" t="s">
        <v>34</v>
      </c>
      <c r="K24" s="54">
        <v>3390.63</v>
      </c>
      <c r="L24" s="49" t="s">
        <v>375</v>
      </c>
      <c r="M24" s="49" t="s">
        <v>374</v>
      </c>
      <c r="N24" s="49" t="s">
        <v>376</v>
      </c>
      <c r="O24" s="49" t="s">
        <v>61</v>
      </c>
      <c r="P24" s="49" t="s">
        <v>377</v>
      </c>
      <c r="Q24" s="49" t="s">
        <v>29</v>
      </c>
      <c r="R24" s="49" t="s">
        <v>378</v>
      </c>
      <c r="S24" s="49" t="s">
        <v>379</v>
      </c>
      <c r="T24" s="68" t="s">
        <v>636</v>
      </c>
      <c r="U24" s="68" t="s">
        <v>637</v>
      </c>
      <c r="V24" s="56"/>
    </row>
    <row r="25" spans="1:22" x14ac:dyDescent="0.35">
      <c r="A25" s="49" t="s">
        <v>348</v>
      </c>
      <c r="B25" s="50" t="s">
        <v>639</v>
      </c>
      <c r="C25" s="51" t="s">
        <v>736</v>
      </c>
      <c r="D25" s="52" t="s">
        <v>721</v>
      </c>
      <c r="E25" s="52" t="s">
        <v>641</v>
      </c>
      <c r="F25" s="52" t="s">
        <v>722</v>
      </c>
      <c r="G25" s="49"/>
      <c r="H25" s="49" t="s">
        <v>355</v>
      </c>
      <c r="I25" s="49" t="s">
        <v>23</v>
      </c>
      <c r="J25" s="49" t="s">
        <v>24</v>
      </c>
      <c r="K25" s="57">
        <v>10.89</v>
      </c>
      <c r="L25" s="49" t="s">
        <v>356</v>
      </c>
      <c r="M25" s="49" t="s">
        <v>355</v>
      </c>
      <c r="N25" s="49" t="s">
        <v>357</v>
      </c>
      <c r="O25" s="49" t="s">
        <v>358</v>
      </c>
      <c r="P25" s="49" t="s">
        <v>359</v>
      </c>
      <c r="Q25" s="49" t="s">
        <v>29</v>
      </c>
      <c r="R25" s="49" t="s">
        <v>360</v>
      </c>
      <c r="S25" s="49" t="s">
        <v>361</v>
      </c>
      <c r="T25" s="58" t="s">
        <v>611</v>
      </c>
      <c r="U25" s="58" t="s">
        <v>612</v>
      </c>
      <c r="V25" s="56"/>
    </row>
    <row r="26" spans="1:22" x14ac:dyDescent="0.35">
      <c r="A26" s="20" t="s">
        <v>348</v>
      </c>
      <c r="B26" s="21" t="s">
        <v>639</v>
      </c>
      <c r="C26" s="47"/>
      <c r="D26" s="31" t="s">
        <v>723</v>
      </c>
      <c r="E26" s="31" t="s">
        <v>723</v>
      </c>
      <c r="F26" s="20" t="s">
        <v>724</v>
      </c>
      <c r="G26" s="20"/>
      <c r="H26" s="20" t="s">
        <v>362</v>
      </c>
      <c r="I26" s="20" t="s">
        <v>4</v>
      </c>
      <c r="J26" s="20" t="s">
        <v>34</v>
      </c>
      <c r="K26" s="24">
        <v>20</v>
      </c>
      <c r="L26" s="20" t="s">
        <v>363</v>
      </c>
      <c r="M26" s="20" t="s">
        <v>362</v>
      </c>
      <c r="N26" s="20" t="s">
        <v>364</v>
      </c>
      <c r="O26" s="20" t="s">
        <v>365</v>
      </c>
      <c r="P26" s="20" t="s">
        <v>366</v>
      </c>
      <c r="Q26" s="20" t="s">
        <v>29</v>
      </c>
      <c r="R26" s="20" t="s">
        <v>367</v>
      </c>
      <c r="S26" s="20" t="s">
        <v>368</v>
      </c>
      <c r="T26" s="61" t="s">
        <v>555</v>
      </c>
      <c r="U26" s="61" t="s">
        <v>556</v>
      </c>
      <c r="V26" s="25"/>
    </row>
    <row r="27" spans="1:22" x14ac:dyDescent="0.35">
      <c r="A27" s="20" t="s">
        <v>348</v>
      </c>
      <c r="B27" s="21" t="s">
        <v>639</v>
      </c>
      <c r="C27" s="47"/>
      <c r="D27" s="26" t="s">
        <v>701</v>
      </c>
      <c r="E27" s="20" t="s">
        <v>641</v>
      </c>
      <c r="F27" s="22" t="s">
        <v>725</v>
      </c>
      <c r="G27" s="26"/>
      <c r="H27" s="20" t="s">
        <v>349</v>
      </c>
      <c r="I27" s="20" t="s">
        <v>23</v>
      </c>
      <c r="J27" s="20" t="s">
        <v>24</v>
      </c>
      <c r="K27" s="24">
        <v>441.06</v>
      </c>
      <c r="L27" s="20" t="s">
        <v>350</v>
      </c>
      <c r="M27" s="20" t="s">
        <v>349</v>
      </c>
      <c r="N27" s="20" t="s">
        <v>351</v>
      </c>
      <c r="O27" s="20" t="s">
        <v>352</v>
      </c>
      <c r="P27" s="20" t="s">
        <v>353</v>
      </c>
      <c r="Q27" s="20" t="s">
        <v>29</v>
      </c>
      <c r="R27" s="20" t="s">
        <v>354</v>
      </c>
      <c r="S27" s="20" t="s">
        <v>117</v>
      </c>
      <c r="T27" s="35" t="s">
        <v>521</v>
      </c>
      <c r="U27" s="36" t="s">
        <v>522</v>
      </c>
      <c r="V27" s="25"/>
    </row>
    <row r="28" spans="1:22" x14ac:dyDescent="0.35">
      <c r="A28" s="20" t="s">
        <v>345</v>
      </c>
      <c r="B28" s="21" t="s">
        <v>639</v>
      </c>
      <c r="C28" s="47"/>
      <c r="D28" s="22" t="s">
        <v>731</v>
      </c>
      <c r="E28" s="23" t="s">
        <v>645</v>
      </c>
      <c r="F28" s="22" t="s">
        <v>729</v>
      </c>
      <c r="G28" s="20" t="s">
        <v>732</v>
      </c>
      <c r="H28" s="20" t="s">
        <v>126</v>
      </c>
      <c r="I28" s="20" t="s">
        <v>4</v>
      </c>
      <c r="J28" s="20" t="s">
        <v>34</v>
      </c>
      <c r="K28" s="24">
        <v>33.96</v>
      </c>
      <c r="L28" s="20" t="s">
        <v>346</v>
      </c>
      <c r="M28" s="20" t="s">
        <v>126</v>
      </c>
      <c r="N28" s="20" t="s">
        <v>128</v>
      </c>
      <c r="O28" s="20" t="s">
        <v>129</v>
      </c>
      <c r="P28" s="20" t="s">
        <v>130</v>
      </c>
      <c r="Q28" s="20" t="s">
        <v>29</v>
      </c>
      <c r="R28" s="20" t="s">
        <v>347</v>
      </c>
      <c r="S28" s="20" t="s">
        <v>93</v>
      </c>
      <c r="T28" s="16" t="s">
        <v>541</v>
      </c>
      <c r="U28" s="16" t="s">
        <v>542</v>
      </c>
      <c r="V28" s="25"/>
    </row>
    <row r="29" spans="1:22" x14ac:dyDescent="0.35">
      <c r="A29" s="20" t="s">
        <v>342</v>
      </c>
      <c r="B29" s="21" t="s">
        <v>639</v>
      </c>
      <c r="C29" s="47"/>
      <c r="D29" s="26" t="s">
        <v>678</v>
      </c>
      <c r="E29" s="20" t="s">
        <v>641</v>
      </c>
      <c r="F29" s="26" t="s">
        <v>729</v>
      </c>
      <c r="G29" s="32" t="s">
        <v>733</v>
      </c>
      <c r="H29" s="20" t="s">
        <v>126</v>
      </c>
      <c r="I29" s="20" t="s">
        <v>4</v>
      </c>
      <c r="J29" s="20" t="s">
        <v>34</v>
      </c>
      <c r="K29" s="27">
        <v>38.29</v>
      </c>
      <c r="L29" s="20" t="s">
        <v>343</v>
      </c>
      <c r="M29" s="20" t="s">
        <v>126</v>
      </c>
      <c r="N29" s="20" t="s">
        <v>128</v>
      </c>
      <c r="O29" s="20" t="s">
        <v>129</v>
      </c>
      <c r="P29" s="20" t="s">
        <v>130</v>
      </c>
      <c r="Q29" s="20" t="s">
        <v>29</v>
      </c>
      <c r="R29" s="20" t="s">
        <v>344</v>
      </c>
      <c r="S29" s="20" t="s">
        <v>93</v>
      </c>
      <c r="T29" s="28" t="s">
        <v>555</v>
      </c>
      <c r="U29" s="28" t="s">
        <v>556</v>
      </c>
      <c r="V29" s="25"/>
    </row>
    <row r="30" spans="1:22" x14ac:dyDescent="0.35">
      <c r="A30" s="20" t="s">
        <v>333</v>
      </c>
      <c r="B30" s="21" t="s">
        <v>639</v>
      </c>
      <c r="C30" s="47"/>
      <c r="D30" s="20" t="s">
        <v>713</v>
      </c>
      <c r="E30" s="20" t="s">
        <v>645</v>
      </c>
      <c r="F30" s="20" t="s">
        <v>715</v>
      </c>
      <c r="G30" s="20"/>
      <c r="H30" s="20" t="s">
        <v>22</v>
      </c>
      <c r="I30" s="20" t="s">
        <v>23</v>
      </c>
      <c r="J30" s="20" t="s">
        <v>24</v>
      </c>
      <c r="K30" s="27">
        <v>39.159999999999997</v>
      </c>
      <c r="L30" s="20" t="s">
        <v>334</v>
      </c>
      <c r="M30" s="20" t="s">
        <v>22</v>
      </c>
      <c r="N30" s="20" t="s">
        <v>26</v>
      </c>
      <c r="O30" s="20" t="s">
        <v>27</v>
      </c>
      <c r="P30" s="20" t="s">
        <v>28</v>
      </c>
      <c r="Q30" s="20" t="s">
        <v>29</v>
      </c>
      <c r="R30" s="20" t="s">
        <v>335</v>
      </c>
      <c r="S30" s="20" t="s">
        <v>31</v>
      </c>
      <c r="T30" s="16" t="s">
        <v>561</v>
      </c>
      <c r="U30" s="16" t="s">
        <v>562</v>
      </c>
      <c r="V30" s="25"/>
    </row>
    <row r="31" spans="1:22" x14ac:dyDescent="0.35">
      <c r="A31" s="20" t="s">
        <v>333</v>
      </c>
      <c r="B31" s="21" t="s">
        <v>639</v>
      </c>
      <c r="C31" s="47"/>
      <c r="D31" s="20" t="s">
        <v>644</v>
      </c>
      <c r="E31" s="20" t="s">
        <v>645</v>
      </c>
      <c r="F31" s="20" t="s">
        <v>695</v>
      </c>
      <c r="G31" s="26"/>
      <c r="H31" s="20" t="s">
        <v>336</v>
      </c>
      <c r="I31" s="20" t="s">
        <v>4</v>
      </c>
      <c r="J31" s="20" t="s">
        <v>34</v>
      </c>
      <c r="K31" s="24">
        <v>42</v>
      </c>
      <c r="L31" s="20" t="s">
        <v>337</v>
      </c>
      <c r="M31" s="20" t="s">
        <v>336</v>
      </c>
      <c r="N31" s="20" t="s">
        <v>338</v>
      </c>
      <c r="O31" s="20" t="s">
        <v>339</v>
      </c>
      <c r="P31" s="20" t="s">
        <v>340</v>
      </c>
      <c r="Q31" s="20" t="s">
        <v>29</v>
      </c>
      <c r="R31" s="20" t="s">
        <v>341</v>
      </c>
      <c r="S31" s="20" t="s">
        <v>192</v>
      </c>
      <c r="T31" s="28" t="s">
        <v>529</v>
      </c>
      <c r="U31" s="28" t="s">
        <v>530</v>
      </c>
      <c r="V31" s="25"/>
    </row>
    <row r="32" spans="1:22" x14ac:dyDescent="0.35">
      <c r="A32" s="20" t="s">
        <v>320</v>
      </c>
      <c r="B32" s="21" t="s">
        <v>639</v>
      </c>
      <c r="C32" s="47"/>
      <c r="D32" s="26" t="s">
        <v>649</v>
      </c>
      <c r="E32" s="20" t="s">
        <v>645</v>
      </c>
      <c r="F32" s="22" t="s">
        <v>650</v>
      </c>
      <c r="G32" s="20"/>
      <c r="H32" s="20" t="s">
        <v>65</v>
      </c>
      <c r="I32" s="20" t="s">
        <v>4</v>
      </c>
      <c r="J32" s="20" t="s">
        <v>34</v>
      </c>
      <c r="K32" s="27">
        <v>11.02</v>
      </c>
      <c r="L32" s="20" t="s">
        <v>329</v>
      </c>
      <c r="M32" s="20" t="s">
        <v>65</v>
      </c>
      <c r="N32" s="20" t="s">
        <v>67</v>
      </c>
      <c r="O32" s="20" t="s">
        <v>68</v>
      </c>
      <c r="P32" s="20" t="s">
        <v>69</v>
      </c>
      <c r="Q32" s="20" t="s">
        <v>29</v>
      </c>
      <c r="R32" s="20" t="s">
        <v>330</v>
      </c>
      <c r="S32" s="20" t="s">
        <v>71</v>
      </c>
      <c r="T32" s="26" t="s">
        <v>553</v>
      </c>
      <c r="U32" s="26" t="s">
        <v>554</v>
      </c>
      <c r="V32" s="25"/>
    </row>
    <row r="33" spans="1:22" x14ac:dyDescent="0.35">
      <c r="A33" s="49" t="s">
        <v>320</v>
      </c>
      <c r="B33" s="50" t="s">
        <v>639</v>
      </c>
      <c r="C33" s="51" t="s">
        <v>736</v>
      </c>
      <c r="D33" s="59" t="s">
        <v>649</v>
      </c>
      <c r="E33" s="49" t="s">
        <v>641</v>
      </c>
      <c r="F33" s="59" t="s">
        <v>650</v>
      </c>
      <c r="G33" s="53"/>
      <c r="H33" s="49" t="s">
        <v>321</v>
      </c>
      <c r="I33" s="49" t="s">
        <v>23</v>
      </c>
      <c r="J33" s="49" t="s">
        <v>24</v>
      </c>
      <c r="K33" s="57">
        <v>32.659999999999997</v>
      </c>
      <c r="L33" s="49" t="s">
        <v>322</v>
      </c>
      <c r="M33" s="49" t="s">
        <v>321</v>
      </c>
      <c r="N33" s="49" t="s">
        <v>323</v>
      </c>
      <c r="O33" s="49" t="s">
        <v>324</v>
      </c>
      <c r="P33" s="49" t="s">
        <v>325</v>
      </c>
      <c r="Q33" s="49" t="s">
        <v>29</v>
      </c>
      <c r="R33" s="49" t="s">
        <v>326</v>
      </c>
      <c r="S33" s="49" t="s">
        <v>71</v>
      </c>
      <c r="T33" s="55" t="s">
        <v>553</v>
      </c>
      <c r="U33" s="55" t="s">
        <v>554</v>
      </c>
      <c r="V33" s="56"/>
    </row>
    <row r="34" spans="1:22" x14ac:dyDescent="0.35">
      <c r="A34" s="20" t="s">
        <v>320</v>
      </c>
      <c r="B34" s="21" t="s">
        <v>639</v>
      </c>
      <c r="C34" s="47"/>
      <c r="D34" s="26" t="s">
        <v>649</v>
      </c>
      <c r="E34" s="20" t="s">
        <v>645</v>
      </c>
      <c r="F34" s="23" t="s">
        <v>650</v>
      </c>
      <c r="G34" s="20"/>
      <c r="H34" s="20" t="s">
        <v>65</v>
      </c>
      <c r="I34" s="20" t="s">
        <v>23</v>
      </c>
      <c r="J34" s="20" t="s">
        <v>24</v>
      </c>
      <c r="K34" s="24">
        <v>100</v>
      </c>
      <c r="L34" s="20" t="s">
        <v>331</v>
      </c>
      <c r="M34" s="20" t="s">
        <v>65</v>
      </c>
      <c r="N34" s="20" t="s">
        <v>67</v>
      </c>
      <c r="O34" s="20" t="s">
        <v>68</v>
      </c>
      <c r="P34" s="20" t="s">
        <v>69</v>
      </c>
      <c r="Q34" s="20" t="s">
        <v>29</v>
      </c>
      <c r="R34" s="20" t="s">
        <v>332</v>
      </c>
      <c r="S34" s="20" t="s">
        <v>71</v>
      </c>
      <c r="T34" s="26" t="s">
        <v>553</v>
      </c>
      <c r="U34" s="26" t="s">
        <v>554</v>
      </c>
      <c r="V34" s="25"/>
    </row>
    <row r="35" spans="1:22" x14ac:dyDescent="0.35">
      <c r="A35" s="49" t="s">
        <v>320</v>
      </c>
      <c r="B35" s="50" t="s">
        <v>639</v>
      </c>
      <c r="C35" s="51" t="s">
        <v>736</v>
      </c>
      <c r="D35" s="59" t="s">
        <v>649</v>
      </c>
      <c r="E35" s="49" t="s">
        <v>641</v>
      </c>
      <c r="F35" s="59" t="s">
        <v>650</v>
      </c>
      <c r="G35" s="53"/>
      <c r="H35" s="49" t="s">
        <v>321</v>
      </c>
      <c r="I35" s="49" t="s">
        <v>4</v>
      </c>
      <c r="J35" s="49" t="s">
        <v>34</v>
      </c>
      <c r="K35" s="54">
        <v>300.5</v>
      </c>
      <c r="L35" s="49" t="s">
        <v>327</v>
      </c>
      <c r="M35" s="49" t="s">
        <v>321</v>
      </c>
      <c r="N35" s="49" t="s">
        <v>323</v>
      </c>
      <c r="O35" s="49" t="s">
        <v>324</v>
      </c>
      <c r="P35" s="49" t="s">
        <v>325</v>
      </c>
      <c r="Q35" s="49" t="s">
        <v>29</v>
      </c>
      <c r="R35" s="49" t="s">
        <v>328</v>
      </c>
      <c r="S35" s="49" t="s">
        <v>71</v>
      </c>
      <c r="T35" s="55" t="s">
        <v>553</v>
      </c>
      <c r="U35" s="55" t="s">
        <v>554</v>
      </c>
      <c r="V35" s="56"/>
    </row>
    <row r="36" spans="1:22" x14ac:dyDescent="0.35">
      <c r="A36" s="20" t="s">
        <v>315</v>
      </c>
      <c r="B36" s="21" t="s">
        <v>639</v>
      </c>
      <c r="C36" s="47"/>
      <c r="D36" s="20" t="s">
        <v>713</v>
      </c>
      <c r="E36" s="20" t="s">
        <v>645</v>
      </c>
      <c r="F36" s="20" t="s">
        <v>715</v>
      </c>
      <c r="G36" s="20"/>
      <c r="H36" s="20" t="s">
        <v>22</v>
      </c>
      <c r="I36" s="20" t="s">
        <v>23</v>
      </c>
      <c r="J36" s="20" t="s">
        <v>24</v>
      </c>
      <c r="K36" s="27">
        <v>36.31</v>
      </c>
      <c r="L36" s="20" t="s">
        <v>316</v>
      </c>
      <c r="M36" s="20" t="s">
        <v>22</v>
      </c>
      <c r="N36" s="20" t="s">
        <v>26</v>
      </c>
      <c r="O36" s="20" t="s">
        <v>27</v>
      </c>
      <c r="P36" s="20" t="s">
        <v>28</v>
      </c>
      <c r="Q36" s="20" t="s">
        <v>29</v>
      </c>
      <c r="R36" s="20" t="s">
        <v>317</v>
      </c>
      <c r="S36" s="20" t="s">
        <v>31</v>
      </c>
      <c r="T36" s="16" t="s">
        <v>561</v>
      </c>
      <c r="U36" s="16" t="s">
        <v>562</v>
      </c>
      <c r="V36" s="25"/>
    </row>
    <row r="37" spans="1:22" x14ac:dyDescent="0.35">
      <c r="A37" s="49" t="s">
        <v>315</v>
      </c>
      <c r="B37" s="50" t="s">
        <v>639</v>
      </c>
      <c r="C37" s="51" t="s">
        <v>736</v>
      </c>
      <c r="D37" s="49" t="s">
        <v>649</v>
      </c>
      <c r="E37" s="49" t="s">
        <v>654</v>
      </c>
      <c r="F37" s="49" t="s">
        <v>705</v>
      </c>
      <c r="G37" s="49"/>
      <c r="H37" s="49" t="s">
        <v>133</v>
      </c>
      <c r="I37" s="49" t="s">
        <v>4</v>
      </c>
      <c r="J37" s="49" t="s">
        <v>34</v>
      </c>
      <c r="K37" s="54">
        <v>263.88</v>
      </c>
      <c r="L37" s="49" t="s">
        <v>318</v>
      </c>
      <c r="M37" s="49" t="s">
        <v>133</v>
      </c>
      <c r="N37" s="49" t="s">
        <v>135</v>
      </c>
      <c r="O37" s="49" t="s">
        <v>136</v>
      </c>
      <c r="P37" s="49" t="s">
        <v>137</v>
      </c>
      <c r="Q37" s="49" t="s">
        <v>29</v>
      </c>
      <c r="R37" s="49" t="s">
        <v>319</v>
      </c>
      <c r="S37" s="49" t="s">
        <v>71</v>
      </c>
      <c r="T37" s="62" t="s">
        <v>553</v>
      </c>
      <c r="U37" s="62" t="s">
        <v>554</v>
      </c>
      <c r="V37" s="56"/>
    </row>
    <row r="38" spans="1:22" x14ac:dyDescent="0.35">
      <c r="A38" s="20" t="s">
        <v>286</v>
      </c>
      <c r="B38" s="21" t="s">
        <v>639</v>
      </c>
      <c r="C38" s="37" t="s">
        <v>657</v>
      </c>
      <c r="D38" s="20" t="s">
        <v>658</v>
      </c>
      <c r="E38" s="20" t="s">
        <v>659</v>
      </c>
      <c r="F38" s="38" t="s">
        <v>660</v>
      </c>
      <c r="G38" s="20"/>
      <c r="H38" s="20" t="s">
        <v>33</v>
      </c>
      <c r="I38" s="20" t="s">
        <v>4</v>
      </c>
      <c r="J38" s="20" t="s">
        <v>34</v>
      </c>
      <c r="K38" s="27">
        <v>3</v>
      </c>
      <c r="L38" s="20" t="s">
        <v>294</v>
      </c>
      <c r="M38" s="20" t="s">
        <v>33</v>
      </c>
      <c r="N38" s="20" t="s">
        <v>36</v>
      </c>
      <c r="O38" s="20" t="s">
        <v>37</v>
      </c>
      <c r="P38" s="20" t="s">
        <v>38</v>
      </c>
      <c r="Q38" s="20" t="s">
        <v>29</v>
      </c>
      <c r="R38" s="20" t="s">
        <v>295</v>
      </c>
      <c r="S38" s="20" t="s">
        <v>40</v>
      </c>
      <c r="T38" s="26" t="s">
        <v>525</v>
      </c>
      <c r="U38" s="26" t="s">
        <v>526</v>
      </c>
      <c r="V38" s="25"/>
    </row>
    <row r="39" spans="1:22" x14ac:dyDescent="0.35">
      <c r="A39" s="20" t="s">
        <v>286</v>
      </c>
      <c r="B39" s="21" t="s">
        <v>639</v>
      </c>
      <c r="C39" s="37" t="s">
        <v>657</v>
      </c>
      <c r="D39" s="20" t="s">
        <v>658</v>
      </c>
      <c r="E39" s="20" t="s">
        <v>659</v>
      </c>
      <c r="F39" s="38" t="s">
        <v>660</v>
      </c>
      <c r="G39" s="20"/>
      <c r="H39" s="20" t="s">
        <v>33</v>
      </c>
      <c r="I39" s="20" t="s">
        <v>4</v>
      </c>
      <c r="J39" s="20" t="s">
        <v>34</v>
      </c>
      <c r="K39" s="24">
        <v>3</v>
      </c>
      <c r="L39" s="20" t="s">
        <v>296</v>
      </c>
      <c r="M39" s="20" t="s">
        <v>33</v>
      </c>
      <c r="N39" s="20" t="s">
        <v>36</v>
      </c>
      <c r="O39" s="20" t="s">
        <v>37</v>
      </c>
      <c r="P39" s="20" t="s">
        <v>38</v>
      </c>
      <c r="Q39" s="20" t="s">
        <v>29</v>
      </c>
      <c r="R39" s="20" t="s">
        <v>297</v>
      </c>
      <c r="S39" s="20" t="s">
        <v>40</v>
      </c>
      <c r="T39" s="26" t="s">
        <v>525</v>
      </c>
      <c r="U39" s="26" t="s">
        <v>526</v>
      </c>
      <c r="V39" s="25"/>
    </row>
    <row r="40" spans="1:22" x14ac:dyDescent="0.35">
      <c r="A40" s="20" t="s">
        <v>286</v>
      </c>
      <c r="B40" s="21" t="s">
        <v>639</v>
      </c>
      <c r="C40" s="37" t="s">
        <v>657</v>
      </c>
      <c r="D40" s="20" t="s">
        <v>658</v>
      </c>
      <c r="E40" s="20" t="s">
        <v>659</v>
      </c>
      <c r="F40" s="38" t="s">
        <v>660</v>
      </c>
      <c r="G40" s="20"/>
      <c r="H40" s="20" t="s">
        <v>33</v>
      </c>
      <c r="I40" s="20" t="s">
        <v>4</v>
      </c>
      <c r="J40" s="20" t="s">
        <v>34</v>
      </c>
      <c r="K40" s="27">
        <v>3</v>
      </c>
      <c r="L40" s="20" t="s">
        <v>298</v>
      </c>
      <c r="M40" s="20" t="s">
        <v>33</v>
      </c>
      <c r="N40" s="20" t="s">
        <v>36</v>
      </c>
      <c r="O40" s="20" t="s">
        <v>37</v>
      </c>
      <c r="P40" s="20" t="s">
        <v>38</v>
      </c>
      <c r="Q40" s="20" t="s">
        <v>29</v>
      </c>
      <c r="R40" s="20" t="s">
        <v>299</v>
      </c>
      <c r="S40" s="20" t="s">
        <v>40</v>
      </c>
      <c r="T40" s="26" t="s">
        <v>525</v>
      </c>
      <c r="U40" s="26" t="s">
        <v>526</v>
      </c>
      <c r="V40" s="25"/>
    </row>
    <row r="41" spans="1:22" x14ac:dyDescent="0.35">
      <c r="A41" s="20" t="s">
        <v>286</v>
      </c>
      <c r="B41" s="20"/>
      <c r="C41" s="47" t="s">
        <v>0</v>
      </c>
      <c r="D41" s="20" t="s">
        <v>644</v>
      </c>
      <c r="E41" s="20" t="s">
        <v>645</v>
      </c>
      <c r="F41" s="20" t="s">
        <v>661</v>
      </c>
      <c r="G41" s="20"/>
      <c r="H41" s="20" t="s">
        <v>289</v>
      </c>
      <c r="I41" s="20" t="s">
        <v>4</v>
      </c>
      <c r="J41" s="20" t="s">
        <v>34</v>
      </c>
      <c r="K41" s="24">
        <v>20.260000000000002</v>
      </c>
      <c r="L41" s="20" t="s">
        <v>290</v>
      </c>
      <c r="M41" s="20" t="s">
        <v>289</v>
      </c>
      <c r="N41" s="20" t="s">
        <v>291</v>
      </c>
      <c r="O41" s="20" t="s">
        <v>37</v>
      </c>
      <c r="P41" s="20" t="s">
        <v>292</v>
      </c>
      <c r="Q41" s="20" t="s">
        <v>29</v>
      </c>
      <c r="R41" s="20" t="s">
        <v>293</v>
      </c>
      <c r="S41" s="20" t="s">
        <v>192</v>
      </c>
      <c r="T41" s="16" t="s">
        <v>529</v>
      </c>
      <c r="U41" s="16" t="s">
        <v>530</v>
      </c>
      <c r="V41" s="25"/>
    </row>
    <row r="42" spans="1:22" x14ac:dyDescent="0.35">
      <c r="A42" s="49" t="s">
        <v>286</v>
      </c>
      <c r="B42" s="50" t="s">
        <v>639</v>
      </c>
      <c r="C42" s="51" t="s">
        <v>736</v>
      </c>
      <c r="D42" s="52" t="s">
        <v>649</v>
      </c>
      <c r="E42" s="52" t="s">
        <v>641</v>
      </c>
      <c r="F42" s="52" t="s">
        <v>681</v>
      </c>
      <c r="G42" s="53"/>
      <c r="H42" s="49" t="s">
        <v>305</v>
      </c>
      <c r="I42" s="49" t="s">
        <v>4</v>
      </c>
      <c r="J42" s="49" t="s">
        <v>34</v>
      </c>
      <c r="K42" s="57">
        <v>21.78</v>
      </c>
      <c r="L42" s="49" t="s">
        <v>306</v>
      </c>
      <c r="M42" s="49" t="s">
        <v>305</v>
      </c>
      <c r="N42" s="49" t="s">
        <v>307</v>
      </c>
      <c r="O42" s="49" t="s">
        <v>121</v>
      </c>
      <c r="P42" s="49" t="s">
        <v>308</v>
      </c>
      <c r="Q42" s="49" t="s">
        <v>29</v>
      </c>
      <c r="R42" s="49" t="s">
        <v>309</v>
      </c>
      <c r="S42" s="49" t="s">
        <v>117</v>
      </c>
      <c r="T42" s="53" t="s">
        <v>553</v>
      </c>
      <c r="U42" s="53" t="s">
        <v>554</v>
      </c>
      <c r="V42" s="56"/>
    </row>
    <row r="43" spans="1:22" x14ac:dyDescent="0.35">
      <c r="A43" s="20" t="s">
        <v>286</v>
      </c>
      <c r="B43" s="21" t="s">
        <v>639</v>
      </c>
      <c r="C43" s="47"/>
      <c r="D43" s="22" t="s">
        <v>731</v>
      </c>
      <c r="E43" s="23" t="s">
        <v>645</v>
      </c>
      <c r="F43" s="22" t="s">
        <v>729</v>
      </c>
      <c r="G43" s="20" t="s">
        <v>734</v>
      </c>
      <c r="H43" s="20" t="s">
        <v>126</v>
      </c>
      <c r="I43" s="20" t="s">
        <v>4</v>
      </c>
      <c r="J43" s="20" t="s">
        <v>34</v>
      </c>
      <c r="K43" s="27">
        <v>36.979999999999997</v>
      </c>
      <c r="L43" s="20" t="s">
        <v>287</v>
      </c>
      <c r="M43" s="20" t="s">
        <v>126</v>
      </c>
      <c r="N43" s="20" t="s">
        <v>128</v>
      </c>
      <c r="O43" s="20" t="s">
        <v>129</v>
      </c>
      <c r="P43" s="20" t="s">
        <v>130</v>
      </c>
      <c r="Q43" s="20" t="s">
        <v>29</v>
      </c>
      <c r="R43" s="20" t="s">
        <v>288</v>
      </c>
      <c r="S43" s="20" t="s">
        <v>93</v>
      </c>
      <c r="T43" s="16" t="s">
        <v>541</v>
      </c>
      <c r="U43" s="16" t="s">
        <v>542</v>
      </c>
      <c r="V43" s="25"/>
    </row>
    <row r="44" spans="1:22" x14ac:dyDescent="0.35">
      <c r="A44" s="20" t="s">
        <v>286</v>
      </c>
      <c r="B44" s="21" t="s">
        <v>639</v>
      </c>
      <c r="C44" s="47"/>
      <c r="D44" s="20" t="s">
        <v>644</v>
      </c>
      <c r="E44" s="20" t="s">
        <v>645</v>
      </c>
      <c r="F44" s="20" t="s">
        <v>692</v>
      </c>
      <c r="G44" s="26"/>
      <c r="H44" s="20" t="s">
        <v>310</v>
      </c>
      <c r="I44" s="20" t="s">
        <v>4</v>
      </c>
      <c r="J44" s="20" t="s">
        <v>34</v>
      </c>
      <c r="K44" s="24">
        <v>98.86</v>
      </c>
      <c r="L44" s="20" t="s">
        <v>311</v>
      </c>
      <c r="M44" s="20" t="s">
        <v>310</v>
      </c>
      <c r="N44" s="20" t="s">
        <v>312</v>
      </c>
      <c r="O44" s="20" t="s">
        <v>61</v>
      </c>
      <c r="P44" s="20" t="s">
        <v>313</v>
      </c>
      <c r="Q44" s="20" t="s">
        <v>29</v>
      </c>
      <c r="R44" s="20" t="s">
        <v>314</v>
      </c>
      <c r="S44" s="20" t="s">
        <v>192</v>
      </c>
      <c r="T44" s="28" t="s">
        <v>529</v>
      </c>
      <c r="U44" s="28" t="s">
        <v>530</v>
      </c>
      <c r="V44" s="25"/>
    </row>
    <row r="45" spans="1:22" x14ac:dyDescent="0.35">
      <c r="A45" s="20" t="s">
        <v>286</v>
      </c>
      <c r="B45" s="21" t="s">
        <v>639</v>
      </c>
      <c r="C45" s="47"/>
      <c r="D45" s="39" t="s">
        <v>701</v>
      </c>
      <c r="E45" s="39" t="s">
        <v>641</v>
      </c>
      <c r="F45" s="39" t="s">
        <v>702</v>
      </c>
      <c r="G45" s="20"/>
      <c r="H45" s="20" t="s">
        <v>300</v>
      </c>
      <c r="I45" s="20" t="s">
        <v>23</v>
      </c>
      <c r="J45" s="20" t="s">
        <v>24</v>
      </c>
      <c r="K45" s="24">
        <v>185.08</v>
      </c>
      <c r="L45" s="20" t="s">
        <v>301</v>
      </c>
      <c r="M45" s="20" t="s">
        <v>300</v>
      </c>
      <c r="N45" s="20" t="s">
        <v>302</v>
      </c>
      <c r="O45" s="20" t="s">
        <v>90</v>
      </c>
      <c r="P45" s="20" t="s">
        <v>303</v>
      </c>
      <c r="Q45" s="20" t="s">
        <v>29</v>
      </c>
      <c r="R45" s="20" t="s">
        <v>304</v>
      </c>
      <c r="S45" s="20" t="s">
        <v>93</v>
      </c>
      <c r="T45" s="40" t="s">
        <v>521</v>
      </c>
      <c r="U45" s="16" t="s">
        <v>522</v>
      </c>
      <c r="V45" s="25"/>
    </row>
    <row r="46" spans="1:22" x14ac:dyDescent="0.35">
      <c r="A46" s="20" t="s">
        <v>275</v>
      </c>
      <c r="B46" s="21" t="s">
        <v>639</v>
      </c>
      <c r="C46" s="37" t="s">
        <v>657</v>
      </c>
      <c r="D46" s="20" t="s">
        <v>658</v>
      </c>
      <c r="E46" s="20" t="s">
        <v>659</v>
      </c>
      <c r="F46" s="38" t="s">
        <v>660</v>
      </c>
      <c r="G46" s="20"/>
      <c r="H46" s="20" t="s">
        <v>33</v>
      </c>
      <c r="I46" s="20" t="s">
        <v>4</v>
      </c>
      <c r="J46" s="20" t="s">
        <v>34</v>
      </c>
      <c r="K46" s="24">
        <v>3</v>
      </c>
      <c r="L46" s="20" t="s">
        <v>276</v>
      </c>
      <c r="M46" s="20" t="s">
        <v>33</v>
      </c>
      <c r="N46" s="20" t="s">
        <v>36</v>
      </c>
      <c r="O46" s="20" t="s">
        <v>37</v>
      </c>
      <c r="P46" s="20" t="s">
        <v>38</v>
      </c>
      <c r="Q46" s="20" t="s">
        <v>29</v>
      </c>
      <c r="R46" s="20" t="s">
        <v>277</v>
      </c>
      <c r="S46" s="20" t="s">
        <v>40</v>
      </c>
      <c r="T46" s="26" t="s">
        <v>525</v>
      </c>
      <c r="U46" s="26" t="s">
        <v>526</v>
      </c>
      <c r="V46" s="25"/>
    </row>
    <row r="47" spans="1:22" x14ac:dyDescent="0.35">
      <c r="A47" s="20" t="s">
        <v>275</v>
      </c>
      <c r="B47" s="21" t="s">
        <v>639</v>
      </c>
      <c r="C47" s="37" t="s">
        <v>657</v>
      </c>
      <c r="D47" s="20" t="s">
        <v>658</v>
      </c>
      <c r="E47" s="20" t="s">
        <v>659</v>
      </c>
      <c r="F47" s="38" t="s">
        <v>660</v>
      </c>
      <c r="G47" s="20"/>
      <c r="H47" s="20" t="s">
        <v>33</v>
      </c>
      <c r="I47" s="20" t="s">
        <v>4</v>
      </c>
      <c r="J47" s="20" t="s">
        <v>34</v>
      </c>
      <c r="K47" s="27">
        <v>3</v>
      </c>
      <c r="L47" s="20" t="s">
        <v>278</v>
      </c>
      <c r="M47" s="20" t="s">
        <v>33</v>
      </c>
      <c r="N47" s="20" t="s">
        <v>36</v>
      </c>
      <c r="O47" s="20" t="s">
        <v>37</v>
      </c>
      <c r="P47" s="20" t="s">
        <v>38</v>
      </c>
      <c r="Q47" s="20" t="s">
        <v>29</v>
      </c>
      <c r="R47" s="20" t="s">
        <v>279</v>
      </c>
      <c r="S47" s="20" t="s">
        <v>40</v>
      </c>
      <c r="T47" s="26" t="s">
        <v>525</v>
      </c>
      <c r="U47" s="26" t="s">
        <v>526</v>
      </c>
      <c r="V47" s="25"/>
    </row>
    <row r="48" spans="1:22" x14ac:dyDescent="0.35">
      <c r="A48" s="49" t="s">
        <v>275</v>
      </c>
      <c r="B48" s="50" t="s">
        <v>639</v>
      </c>
      <c r="C48" s="51" t="s">
        <v>736</v>
      </c>
      <c r="D48" s="49" t="s">
        <v>701</v>
      </c>
      <c r="E48" s="49" t="s">
        <v>641</v>
      </c>
      <c r="F48" s="49" t="s">
        <v>726</v>
      </c>
      <c r="G48" s="53"/>
      <c r="H48" s="49" t="s">
        <v>280</v>
      </c>
      <c r="I48" s="49" t="s">
        <v>4</v>
      </c>
      <c r="J48" s="49" t="s">
        <v>34</v>
      </c>
      <c r="K48" s="54">
        <v>226.46</v>
      </c>
      <c r="L48" s="49" t="s">
        <v>281</v>
      </c>
      <c r="M48" s="49" t="s">
        <v>280</v>
      </c>
      <c r="N48" s="49" t="s">
        <v>282</v>
      </c>
      <c r="O48" s="49" t="s">
        <v>283</v>
      </c>
      <c r="P48" s="49" t="s">
        <v>284</v>
      </c>
      <c r="Q48" s="49" t="s">
        <v>29</v>
      </c>
      <c r="R48" s="49" t="s">
        <v>285</v>
      </c>
      <c r="S48" s="49" t="s">
        <v>117</v>
      </c>
      <c r="T48" s="55" t="s">
        <v>521</v>
      </c>
      <c r="U48" s="55" t="s">
        <v>522</v>
      </c>
      <c r="V48" s="56"/>
    </row>
    <row r="49" spans="1:22" x14ac:dyDescent="0.35">
      <c r="A49" s="20" t="s">
        <v>266</v>
      </c>
      <c r="B49" s="21" t="s">
        <v>639</v>
      </c>
      <c r="C49" s="47"/>
      <c r="D49" s="22" t="s">
        <v>731</v>
      </c>
      <c r="E49" s="23" t="s">
        <v>645</v>
      </c>
      <c r="F49" s="22" t="s">
        <v>729</v>
      </c>
      <c r="G49" s="20" t="s">
        <v>734</v>
      </c>
      <c r="H49" s="20" t="s">
        <v>126</v>
      </c>
      <c r="I49" s="20" t="s">
        <v>4</v>
      </c>
      <c r="J49" s="20" t="s">
        <v>34</v>
      </c>
      <c r="K49" s="24">
        <v>2.99</v>
      </c>
      <c r="L49" s="20" t="s">
        <v>267</v>
      </c>
      <c r="M49" s="20" t="s">
        <v>126</v>
      </c>
      <c r="N49" s="20" t="s">
        <v>128</v>
      </c>
      <c r="O49" s="20" t="s">
        <v>129</v>
      </c>
      <c r="P49" s="20" t="s">
        <v>130</v>
      </c>
      <c r="Q49" s="20" t="s">
        <v>29</v>
      </c>
      <c r="R49" s="20" t="s">
        <v>268</v>
      </c>
      <c r="S49" s="20" t="s">
        <v>93</v>
      </c>
      <c r="T49" s="16" t="s">
        <v>541</v>
      </c>
      <c r="U49" s="16" t="s">
        <v>542</v>
      </c>
      <c r="V49" s="25"/>
    </row>
    <row r="50" spans="1:22" x14ac:dyDescent="0.35">
      <c r="A50" s="49" t="s">
        <v>266</v>
      </c>
      <c r="B50" s="50" t="s">
        <v>639</v>
      </c>
      <c r="C50" s="51" t="s">
        <v>736</v>
      </c>
      <c r="D50" s="67" t="s">
        <v>674</v>
      </c>
      <c r="E50" s="49" t="s">
        <v>654</v>
      </c>
      <c r="F50" s="49" t="s">
        <v>675</v>
      </c>
      <c r="G50" s="53"/>
      <c r="H50" s="49" t="s">
        <v>269</v>
      </c>
      <c r="I50" s="49" t="s">
        <v>4</v>
      </c>
      <c r="J50" s="49" t="s">
        <v>34</v>
      </c>
      <c r="K50" s="57">
        <v>426.22</v>
      </c>
      <c r="L50" s="49" t="s">
        <v>270</v>
      </c>
      <c r="M50" s="49" t="s">
        <v>269</v>
      </c>
      <c r="N50" s="49" t="s">
        <v>271</v>
      </c>
      <c r="O50" s="49" t="s">
        <v>272</v>
      </c>
      <c r="P50" s="49" t="s">
        <v>273</v>
      </c>
      <c r="Q50" s="49" t="s">
        <v>29</v>
      </c>
      <c r="R50" s="49" t="s">
        <v>274</v>
      </c>
      <c r="S50" s="49" t="s">
        <v>71</v>
      </c>
      <c r="T50" s="63" t="s">
        <v>553</v>
      </c>
      <c r="U50" s="63" t="s">
        <v>554</v>
      </c>
      <c r="V50" s="56"/>
    </row>
    <row r="51" spans="1:22" x14ac:dyDescent="0.35">
      <c r="A51" s="20" t="s">
        <v>252</v>
      </c>
      <c r="B51" s="21" t="s">
        <v>639</v>
      </c>
      <c r="C51" s="47"/>
      <c r="D51" s="20" t="s">
        <v>640</v>
      </c>
      <c r="E51" s="20" t="s">
        <v>645</v>
      </c>
      <c r="F51" s="20" t="s">
        <v>682</v>
      </c>
      <c r="G51" s="26"/>
      <c r="H51" s="20" t="s">
        <v>238</v>
      </c>
      <c r="I51" s="20" t="s">
        <v>4</v>
      </c>
      <c r="J51" s="20" t="s">
        <v>34</v>
      </c>
      <c r="K51" s="24">
        <v>0.45</v>
      </c>
      <c r="L51" s="20" t="s">
        <v>259</v>
      </c>
      <c r="M51" s="20" t="s">
        <v>238</v>
      </c>
      <c r="N51" s="20" t="s">
        <v>240</v>
      </c>
      <c r="O51" s="20" t="s">
        <v>46</v>
      </c>
      <c r="P51" s="20" t="s">
        <v>241</v>
      </c>
      <c r="Q51" s="20" t="s">
        <v>29</v>
      </c>
      <c r="R51" s="20" t="s">
        <v>260</v>
      </c>
      <c r="S51" s="20" t="s">
        <v>243</v>
      </c>
      <c r="T51" s="26" t="s">
        <v>525</v>
      </c>
      <c r="U51" s="26" t="s">
        <v>526</v>
      </c>
      <c r="V51" s="25"/>
    </row>
    <row r="52" spans="1:22" x14ac:dyDescent="0.35">
      <c r="A52" s="49" t="s">
        <v>252</v>
      </c>
      <c r="B52" s="50" t="s">
        <v>639</v>
      </c>
      <c r="C52" s="51" t="s">
        <v>736</v>
      </c>
      <c r="D52" s="59" t="s">
        <v>721</v>
      </c>
      <c r="E52" s="49" t="s">
        <v>641</v>
      </c>
      <c r="F52" s="59" t="s">
        <v>727</v>
      </c>
      <c r="G52" s="53"/>
      <c r="H52" s="49" t="s">
        <v>253</v>
      </c>
      <c r="I52" s="49" t="s">
        <v>23</v>
      </c>
      <c r="J52" s="49" t="s">
        <v>24</v>
      </c>
      <c r="K52" s="57">
        <v>29.99</v>
      </c>
      <c r="L52" s="49" t="s">
        <v>254</v>
      </c>
      <c r="M52" s="49" t="s">
        <v>253</v>
      </c>
      <c r="N52" s="49" t="s">
        <v>255</v>
      </c>
      <c r="O52" s="49" t="s">
        <v>129</v>
      </c>
      <c r="P52" s="49" t="s">
        <v>256</v>
      </c>
      <c r="Q52" s="49" t="s">
        <v>29</v>
      </c>
      <c r="R52" s="49" t="s">
        <v>257</v>
      </c>
      <c r="S52" s="49" t="s">
        <v>258</v>
      </c>
      <c r="T52" s="55" t="s">
        <v>553</v>
      </c>
      <c r="U52" s="55" t="s">
        <v>554</v>
      </c>
      <c r="V52" s="56"/>
    </row>
    <row r="53" spans="1:22" x14ac:dyDescent="0.35">
      <c r="A53" s="49" t="s">
        <v>252</v>
      </c>
      <c r="B53" s="50" t="s">
        <v>639</v>
      </c>
      <c r="C53" s="51" t="s">
        <v>736</v>
      </c>
      <c r="D53" s="59" t="s">
        <v>644</v>
      </c>
      <c r="E53" s="52" t="s">
        <v>645</v>
      </c>
      <c r="F53" s="49" t="s">
        <v>662</v>
      </c>
      <c r="G53" s="53"/>
      <c r="H53" s="49" t="s">
        <v>261</v>
      </c>
      <c r="I53" s="49" t="s">
        <v>141</v>
      </c>
      <c r="J53" s="49" t="s">
        <v>142</v>
      </c>
      <c r="K53" s="57">
        <v>85.14</v>
      </c>
      <c r="L53" s="49" t="s">
        <v>262</v>
      </c>
      <c r="M53" s="49" t="s">
        <v>261</v>
      </c>
      <c r="N53" s="49" t="s">
        <v>263</v>
      </c>
      <c r="O53" s="49" t="s">
        <v>205</v>
      </c>
      <c r="P53" s="49" t="s">
        <v>264</v>
      </c>
      <c r="Q53" s="49" t="s">
        <v>29</v>
      </c>
      <c r="R53" s="49" t="s">
        <v>265</v>
      </c>
      <c r="S53" s="49" t="s">
        <v>192</v>
      </c>
      <c r="T53" s="63" t="s">
        <v>529</v>
      </c>
      <c r="U53" s="63" t="s">
        <v>530</v>
      </c>
      <c r="V53" s="56"/>
    </row>
    <row r="54" spans="1:22" x14ac:dyDescent="0.35">
      <c r="A54" s="20" t="s">
        <v>228</v>
      </c>
      <c r="B54" s="21" t="s">
        <v>639</v>
      </c>
      <c r="C54" s="47"/>
      <c r="D54" s="20" t="s">
        <v>640</v>
      </c>
      <c r="E54" s="20" t="s">
        <v>645</v>
      </c>
      <c r="F54" s="20" t="s">
        <v>682</v>
      </c>
      <c r="G54" s="26"/>
      <c r="H54" s="20" t="s">
        <v>238</v>
      </c>
      <c r="I54" s="20" t="s">
        <v>4</v>
      </c>
      <c r="J54" s="20" t="s">
        <v>34</v>
      </c>
      <c r="K54" s="24">
        <v>0.89</v>
      </c>
      <c r="L54" s="20" t="s">
        <v>239</v>
      </c>
      <c r="M54" s="20" t="s">
        <v>238</v>
      </c>
      <c r="N54" s="20" t="s">
        <v>240</v>
      </c>
      <c r="O54" s="20" t="s">
        <v>46</v>
      </c>
      <c r="P54" s="20" t="s">
        <v>241</v>
      </c>
      <c r="Q54" s="20" t="s">
        <v>29</v>
      </c>
      <c r="R54" s="20" t="s">
        <v>242</v>
      </c>
      <c r="S54" s="20" t="s">
        <v>243</v>
      </c>
      <c r="T54" s="26" t="s">
        <v>525</v>
      </c>
      <c r="U54" s="26" t="s">
        <v>526</v>
      </c>
      <c r="V54" s="25"/>
    </row>
    <row r="55" spans="1:22" x14ac:dyDescent="0.35">
      <c r="A55" s="20" t="s">
        <v>228</v>
      </c>
      <c r="B55" s="21" t="s">
        <v>639</v>
      </c>
      <c r="C55" s="47"/>
      <c r="D55" s="20" t="s">
        <v>640</v>
      </c>
      <c r="E55" s="20" t="s">
        <v>645</v>
      </c>
      <c r="F55" s="20" t="s">
        <v>682</v>
      </c>
      <c r="G55" s="26"/>
      <c r="H55" s="20" t="s">
        <v>238</v>
      </c>
      <c r="I55" s="20" t="s">
        <v>4</v>
      </c>
      <c r="J55" s="20" t="s">
        <v>34</v>
      </c>
      <c r="K55" s="27">
        <v>4.91</v>
      </c>
      <c r="L55" s="20" t="s">
        <v>244</v>
      </c>
      <c r="M55" s="20" t="s">
        <v>238</v>
      </c>
      <c r="N55" s="20" t="s">
        <v>240</v>
      </c>
      <c r="O55" s="20" t="s">
        <v>46</v>
      </c>
      <c r="P55" s="20" t="s">
        <v>241</v>
      </c>
      <c r="Q55" s="20" t="s">
        <v>29</v>
      </c>
      <c r="R55" s="20" t="s">
        <v>245</v>
      </c>
      <c r="S55" s="20" t="s">
        <v>243</v>
      </c>
      <c r="T55" s="26" t="s">
        <v>525</v>
      </c>
      <c r="U55" s="26" t="s">
        <v>526</v>
      </c>
      <c r="V55" s="25"/>
    </row>
    <row r="56" spans="1:22" x14ac:dyDescent="0.35">
      <c r="A56" s="20" t="s">
        <v>228</v>
      </c>
      <c r="B56" s="21" t="s">
        <v>639</v>
      </c>
      <c r="C56" s="47"/>
      <c r="D56" s="20" t="s">
        <v>640</v>
      </c>
      <c r="E56" s="20" t="s">
        <v>645</v>
      </c>
      <c r="F56" s="20" t="s">
        <v>640</v>
      </c>
      <c r="G56" s="20"/>
      <c r="H56" s="20" t="s">
        <v>229</v>
      </c>
      <c r="I56" s="20" t="s">
        <v>4</v>
      </c>
      <c r="J56" s="20" t="s">
        <v>34</v>
      </c>
      <c r="K56" s="24">
        <v>6</v>
      </c>
      <c r="L56" s="20" t="s">
        <v>230</v>
      </c>
      <c r="M56" s="20" t="s">
        <v>229</v>
      </c>
      <c r="N56" s="20" t="s">
        <v>231</v>
      </c>
      <c r="O56" s="20" t="s">
        <v>232</v>
      </c>
      <c r="P56" s="20" t="s">
        <v>233</v>
      </c>
      <c r="Q56" s="20" t="s">
        <v>29</v>
      </c>
      <c r="R56" s="20" t="s">
        <v>234</v>
      </c>
      <c r="S56" s="20" t="s">
        <v>235</v>
      </c>
      <c r="T56" s="16" t="s">
        <v>525</v>
      </c>
      <c r="U56" s="16" t="s">
        <v>526</v>
      </c>
      <c r="V56" s="25"/>
    </row>
    <row r="57" spans="1:22" x14ac:dyDescent="0.35">
      <c r="A57" s="20" t="s">
        <v>228</v>
      </c>
      <c r="B57" s="21" t="s">
        <v>639</v>
      </c>
      <c r="C57" s="47"/>
      <c r="D57" s="26" t="s">
        <v>649</v>
      </c>
      <c r="E57" s="20" t="s">
        <v>645</v>
      </c>
      <c r="F57" s="22" t="s">
        <v>650</v>
      </c>
      <c r="G57" s="20"/>
      <c r="H57" s="20" t="s">
        <v>65</v>
      </c>
      <c r="I57" s="20" t="s">
        <v>4</v>
      </c>
      <c r="J57" s="20" t="s">
        <v>34</v>
      </c>
      <c r="K57" s="27">
        <v>15.75</v>
      </c>
      <c r="L57" s="20" t="s">
        <v>236</v>
      </c>
      <c r="M57" s="20" t="s">
        <v>65</v>
      </c>
      <c r="N57" s="20" t="s">
        <v>67</v>
      </c>
      <c r="O57" s="20" t="s">
        <v>68</v>
      </c>
      <c r="P57" s="20" t="s">
        <v>69</v>
      </c>
      <c r="Q57" s="20" t="s">
        <v>29</v>
      </c>
      <c r="R57" s="20" t="s">
        <v>237</v>
      </c>
      <c r="S57" s="20" t="s">
        <v>71</v>
      </c>
      <c r="T57" s="26" t="s">
        <v>553</v>
      </c>
      <c r="U57" s="26" t="s">
        <v>554</v>
      </c>
      <c r="V57" s="25"/>
    </row>
    <row r="58" spans="1:22" x14ac:dyDescent="0.35">
      <c r="A58" s="49" t="s">
        <v>228</v>
      </c>
      <c r="B58" s="50" t="s">
        <v>639</v>
      </c>
      <c r="C58" s="51" t="s">
        <v>736</v>
      </c>
      <c r="D58" s="59" t="s">
        <v>644</v>
      </c>
      <c r="E58" s="52" t="s">
        <v>645</v>
      </c>
      <c r="F58" s="49" t="s">
        <v>699</v>
      </c>
      <c r="G58" s="53"/>
      <c r="H58" s="49" t="s">
        <v>246</v>
      </c>
      <c r="I58" s="49" t="s">
        <v>4</v>
      </c>
      <c r="J58" s="49" t="s">
        <v>34</v>
      </c>
      <c r="K58" s="54">
        <v>58</v>
      </c>
      <c r="L58" s="49" t="s">
        <v>247</v>
      </c>
      <c r="M58" s="49" t="s">
        <v>246</v>
      </c>
      <c r="N58" s="49" t="s">
        <v>248</v>
      </c>
      <c r="O58" s="49" t="s">
        <v>249</v>
      </c>
      <c r="P58" s="49" t="s">
        <v>250</v>
      </c>
      <c r="Q58" s="49" t="s">
        <v>29</v>
      </c>
      <c r="R58" s="49" t="s">
        <v>251</v>
      </c>
      <c r="S58" s="49" t="s">
        <v>192</v>
      </c>
      <c r="T58" s="63" t="s">
        <v>529</v>
      </c>
      <c r="U58" s="63" t="s">
        <v>530</v>
      </c>
      <c r="V58" s="56"/>
    </row>
    <row r="59" spans="1:22" x14ac:dyDescent="0.35">
      <c r="A59" s="20" t="s">
        <v>185</v>
      </c>
      <c r="B59" s="21" t="s">
        <v>639</v>
      </c>
      <c r="C59" s="47"/>
      <c r="D59" s="20" t="s">
        <v>713</v>
      </c>
      <c r="E59" s="20" t="s">
        <v>645</v>
      </c>
      <c r="F59" s="20" t="s">
        <v>714</v>
      </c>
      <c r="G59" s="20"/>
      <c r="H59" s="20" t="s">
        <v>222</v>
      </c>
      <c r="I59" s="20" t="s">
        <v>4</v>
      </c>
      <c r="J59" s="20" t="s">
        <v>34</v>
      </c>
      <c r="K59" s="27">
        <v>10</v>
      </c>
      <c r="L59" s="20" t="s">
        <v>223</v>
      </c>
      <c r="M59" s="20" t="s">
        <v>222</v>
      </c>
      <c r="N59" s="20" t="s">
        <v>224</v>
      </c>
      <c r="O59" s="20" t="s">
        <v>225</v>
      </c>
      <c r="P59" s="20" t="s">
        <v>226</v>
      </c>
      <c r="Q59" s="20" t="s">
        <v>29</v>
      </c>
      <c r="R59" s="20" t="s">
        <v>227</v>
      </c>
      <c r="S59" s="20" t="s">
        <v>64</v>
      </c>
      <c r="T59" s="16" t="s">
        <v>561</v>
      </c>
      <c r="U59" s="16" t="s">
        <v>562</v>
      </c>
      <c r="V59" s="25"/>
    </row>
    <row r="60" spans="1:22" x14ac:dyDescent="0.35">
      <c r="A60" s="20" t="s">
        <v>185</v>
      </c>
      <c r="B60" s="21" t="s">
        <v>639</v>
      </c>
      <c r="C60" s="47"/>
      <c r="D60" s="20" t="s">
        <v>711</v>
      </c>
      <c r="E60" s="20" t="s">
        <v>645</v>
      </c>
      <c r="F60" s="20" t="s">
        <v>712</v>
      </c>
      <c r="G60" s="20"/>
      <c r="H60" s="20" t="s">
        <v>193</v>
      </c>
      <c r="I60" s="20" t="s">
        <v>4</v>
      </c>
      <c r="J60" s="20" t="s">
        <v>34</v>
      </c>
      <c r="K60" s="27">
        <v>15</v>
      </c>
      <c r="L60" s="20" t="s">
        <v>194</v>
      </c>
      <c r="M60" s="20" t="s">
        <v>193</v>
      </c>
      <c r="N60" s="20" t="s">
        <v>195</v>
      </c>
      <c r="O60" s="20" t="s">
        <v>196</v>
      </c>
      <c r="P60" s="20" t="s">
        <v>197</v>
      </c>
      <c r="Q60" s="20" t="s">
        <v>29</v>
      </c>
      <c r="R60" s="20" t="s">
        <v>198</v>
      </c>
      <c r="S60" s="20" t="s">
        <v>199</v>
      </c>
      <c r="T60" s="16" t="s">
        <v>525</v>
      </c>
      <c r="U60" s="16" t="s">
        <v>526</v>
      </c>
      <c r="V60" s="25"/>
    </row>
    <row r="61" spans="1:22" x14ac:dyDescent="0.35">
      <c r="A61" s="20" t="s">
        <v>185</v>
      </c>
      <c r="B61" s="21" t="s">
        <v>639</v>
      </c>
      <c r="C61" s="47"/>
      <c r="D61" s="20" t="s">
        <v>649</v>
      </c>
      <c r="E61" s="20" t="s">
        <v>654</v>
      </c>
      <c r="F61" s="20" t="s">
        <v>705</v>
      </c>
      <c r="G61" s="20"/>
      <c r="H61" s="20" t="s">
        <v>133</v>
      </c>
      <c r="I61" s="20" t="s">
        <v>4</v>
      </c>
      <c r="J61" s="20" t="s">
        <v>34</v>
      </c>
      <c r="K61" s="24">
        <v>26.99</v>
      </c>
      <c r="L61" s="20" t="s">
        <v>200</v>
      </c>
      <c r="M61" s="20" t="s">
        <v>133</v>
      </c>
      <c r="N61" s="20" t="s">
        <v>135</v>
      </c>
      <c r="O61" s="20" t="s">
        <v>136</v>
      </c>
      <c r="P61" s="20" t="s">
        <v>137</v>
      </c>
      <c r="Q61" s="20" t="s">
        <v>29</v>
      </c>
      <c r="R61" s="20" t="s">
        <v>201</v>
      </c>
      <c r="S61" s="20" t="s">
        <v>71</v>
      </c>
      <c r="T61" s="16" t="s">
        <v>553</v>
      </c>
      <c r="U61" s="16" t="s">
        <v>554</v>
      </c>
      <c r="V61" s="25"/>
    </row>
    <row r="62" spans="1:22" x14ac:dyDescent="0.35">
      <c r="A62" s="49" t="s">
        <v>185</v>
      </c>
      <c r="B62" s="50" t="s">
        <v>639</v>
      </c>
      <c r="C62" s="51" t="s">
        <v>736</v>
      </c>
      <c r="D62" s="49" t="s">
        <v>683</v>
      </c>
      <c r="E62" s="49" t="s">
        <v>645</v>
      </c>
      <c r="F62" s="49" t="s">
        <v>684</v>
      </c>
      <c r="G62" s="53" t="s">
        <v>685</v>
      </c>
      <c r="H62" s="49" t="s">
        <v>213</v>
      </c>
      <c r="I62" s="49" t="s">
        <v>4</v>
      </c>
      <c r="J62" s="49" t="s">
        <v>34</v>
      </c>
      <c r="K62" s="57">
        <v>27</v>
      </c>
      <c r="L62" s="49" t="s">
        <v>214</v>
      </c>
      <c r="M62" s="49" t="s">
        <v>213</v>
      </c>
      <c r="N62" s="49" t="s">
        <v>215</v>
      </c>
      <c r="O62" s="49" t="s">
        <v>37</v>
      </c>
      <c r="P62" s="49" t="s">
        <v>38</v>
      </c>
      <c r="Q62" s="49" t="s">
        <v>29</v>
      </c>
      <c r="R62" s="49" t="s">
        <v>216</v>
      </c>
      <c r="S62" s="49" t="s">
        <v>217</v>
      </c>
      <c r="T62" s="53" t="s">
        <v>525</v>
      </c>
      <c r="U62" s="53" t="s">
        <v>526</v>
      </c>
      <c r="V62" s="56"/>
    </row>
    <row r="63" spans="1:22" x14ac:dyDescent="0.35">
      <c r="A63" s="20" t="s">
        <v>185</v>
      </c>
      <c r="B63" s="21" t="s">
        <v>639</v>
      </c>
      <c r="C63" s="47"/>
      <c r="D63" s="22" t="s">
        <v>644</v>
      </c>
      <c r="E63" s="23" t="s">
        <v>645</v>
      </c>
      <c r="F63" s="22" t="s">
        <v>676</v>
      </c>
      <c r="G63" s="26" t="s">
        <v>677</v>
      </c>
      <c r="H63" s="20" t="s">
        <v>208</v>
      </c>
      <c r="I63" s="20" t="s">
        <v>141</v>
      </c>
      <c r="J63" s="20" t="s">
        <v>142</v>
      </c>
      <c r="K63" s="24">
        <v>54.57</v>
      </c>
      <c r="L63" s="20" t="s">
        <v>209</v>
      </c>
      <c r="M63" s="20" t="s">
        <v>208</v>
      </c>
      <c r="N63" s="20" t="s">
        <v>210</v>
      </c>
      <c r="O63" s="20" t="s">
        <v>196</v>
      </c>
      <c r="P63" s="20" t="s">
        <v>211</v>
      </c>
      <c r="Q63" s="20" t="s">
        <v>29</v>
      </c>
      <c r="R63" s="20" t="s">
        <v>212</v>
      </c>
      <c r="S63" s="20" t="s">
        <v>192</v>
      </c>
      <c r="T63" s="41" t="s">
        <v>529</v>
      </c>
      <c r="U63" s="41" t="s">
        <v>530</v>
      </c>
      <c r="V63" s="25"/>
    </row>
    <row r="64" spans="1:22" x14ac:dyDescent="0.35">
      <c r="A64" s="20" t="s">
        <v>185</v>
      </c>
      <c r="B64" s="21" t="s">
        <v>639</v>
      </c>
      <c r="C64" s="47"/>
      <c r="D64" s="22" t="s">
        <v>644</v>
      </c>
      <c r="E64" s="23" t="s">
        <v>645</v>
      </c>
      <c r="F64" s="20" t="s">
        <v>710</v>
      </c>
      <c r="G64" s="20"/>
      <c r="H64" s="20" t="s">
        <v>186</v>
      </c>
      <c r="I64" s="20" t="s">
        <v>4</v>
      </c>
      <c r="J64" s="20" t="s">
        <v>34</v>
      </c>
      <c r="K64" s="24">
        <v>67</v>
      </c>
      <c r="L64" s="20" t="s">
        <v>187</v>
      </c>
      <c r="M64" s="20" t="s">
        <v>186</v>
      </c>
      <c r="N64" s="20" t="s">
        <v>188</v>
      </c>
      <c r="O64" s="20" t="s">
        <v>189</v>
      </c>
      <c r="P64" s="20" t="s">
        <v>190</v>
      </c>
      <c r="Q64" s="20" t="s">
        <v>29</v>
      </c>
      <c r="R64" s="20" t="s">
        <v>191</v>
      </c>
      <c r="S64" s="20" t="s">
        <v>192</v>
      </c>
      <c r="T64" s="16" t="s">
        <v>529</v>
      </c>
      <c r="U64" s="16" t="s">
        <v>530</v>
      </c>
      <c r="V64" s="25"/>
    </row>
    <row r="65" spans="1:22" x14ac:dyDescent="0.35">
      <c r="A65" s="49" t="s">
        <v>185</v>
      </c>
      <c r="B65" s="50" t="s">
        <v>639</v>
      </c>
      <c r="C65" s="51" t="s">
        <v>736</v>
      </c>
      <c r="D65" s="59" t="s">
        <v>644</v>
      </c>
      <c r="E65" s="52" t="s">
        <v>645</v>
      </c>
      <c r="F65" s="59" t="s">
        <v>663</v>
      </c>
      <c r="G65" s="53"/>
      <c r="H65" s="49" t="s">
        <v>218</v>
      </c>
      <c r="I65" s="49" t="s">
        <v>4</v>
      </c>
      <c r="J65" s="49" t="s">
        <v>34</v>
      </c>
      <c r="K65" s="54">
        <v>217.42</v>
      </c>
      <c r="L65" s="49" t="s">
        <v>219</v>
      </c>
      <c r="M65" s="49" t="s">
        <v>218</v>
      </c>
      <c r="N65" s="49" t="s">
        <v>220</v>
      </c>
      <c r="O65" s="49" t="s">
        <v>181</v>
      </c>
      <c r="P65" s="49" t="s">
        <v>182</v>
      </c>
      <c r="Q65" s="49" t="s">
        <v>29</v>
      </c>
      <c r="R65" s="49" t="s">
        <v>221</v>
      </c>
      <c r="S65" s="49" t="s">
        <v>192</v>
      </c>
      <c r="T65" s="63" t="s">
        <v>529</v>
      </c>
      <c r="U65" s="63" t="s">
        <v>530</v>
      </c>
      <c r="V65" s="56"/>
    </row>
    <row r="66" spans="1:22" x14ac:dyDescent="0.35">
      <c r="A66" s="49" t="s">
        <v>185</v>
      </c>
      <c r="B66" s="50" t="s">
        <v>639</v>
      </c>
      <c r="C66" s="51" t="s">
        <v>736</v>
      </c>
      <c r="D66" s="67" t="s">
        <v>696</v>
      </c>
      <c r="E66" s="67" t="s">
        <v>645</v>
      </c>
      <c r="F66" s="49" t="s">
        <v>704</v>
      </c>
      <c r="G66" s="49"/>
      <c r="H66" s="49" t="s">
        <v>202</v>
      </c>
      <c r="I66" s="49" t="s">
        <v>141</v>
      </c>
      <c r="J66" s="49" t="s">
        <v>142</v>
      </c>
      <c r="K66" s="57">
        <v>368.41</v>
      </c>
      <c r="L66" s="49" t="s">
        <v>203</v>
      </c>
      <c r="M66" s="49" t="s">
        <v>202</v>
      </c>
      <c r="N66" s="49" t="s">
        <v>204</v>
      </c>
      <c r="O66" s="49" t="s">
        <v>205</v>
      </c>
      <c r="P66" s="49" t="s">
        <v>206</v>
      </c>
      <c r="Q66" s="49" t="s">
        <v>29</v>
      </c>
      <c r="R66" s="49" t="s">
        <v>207</v>
      </c>
      <c r="S66" s="49" t="s">
        <v>184</v>
      </c>
      <c r="T66" s="62" t="s">
        <v>525</v>
      </c>
      <c r="U66" s="62" t="s">
        <v>526</v>
      </c>
      <c r="V66" s="56"/>
    </row>
    <row r="67" spans="1:22" x14ac:dyDescent="0.35">
      <c r="A67" s="20" t="s">
        <v>173</v>
      </c>
      <c r="B67" s="21" t="s">
        <v>639</v>
      </c>
      <c r="C67" s="37" t="s">
        <v>657</v>
      </c>
      <c r="D67" s="20" t="s">
        <v>658</v>
      </c>
      <c r="E67" s="20" t="s">
        <v>659</v>
      </c>
      <c r="F67" s="38" t="s">
        <v>660</v>
      </c>
      <c r="G67" s="20"/>
      <c r="H67" s="20" t="s">
        <v>33</v>
      </c>
      <c r="I67" s="20" t="s">
        <v>4</v>
      </c>
      <c r="J67" s="20" t="s">
        <v>34</v>
      </c>
      <c r="K67" s="27">
        <v>3</v>
      </c>
      <c r="L67" s="20" t="s">
        <v>174</v>
      </c>
      <c r="M67" s="20" t="s">
        <v>33</v>
      </c>
      <c r="N67" s="20" t="s">
        <v>36</v>
      </c>
      <c r="O67" s="20" t="s">
        <v>37</v>
      </c>
      <c r="P67" s="20" t="s">
        <v>38</v>
      </c>
      <c r="Q67" s="20" t="s">
        <v>29</v>
      </c>
      <c r="R67" s="20" t="s">
        <v>175</v>
      </c>
      <c r="S67" s="20" t="s">
        <v>40</v>
      </c>
      <c r="T67" s="26" t="s">
        <v>525</v>
      </c>
      <c r="U67" s="26" t="s">
        <v>526</v>
      </c>
      <c r="V67" s="25"/>
    </row>
    <row r="68" spans="1:22" x14ac:dyDescent="0.35">
      <c r="A68" s="20" t="s">
        <v>173</v>
      </c>
      <c r="B68" s="21" t="s">
        <v>639</v>
      </c>
      <c r="C68" s="37" t="s">
        <v>657</v>
      </c>
      <c r="D68" s="20" t="s">
        <v>658</v>
      </c>
      <c r="E68" s="20" t="s">
        <v>659</v>
      </c>
      <c r="F68" s="38" t="s">
        <v>660</v>
      </c>
      <c r="G68" s="20"/>
      <c r="H68" s="20" t="s">
        <v>33</v>
      </c>
      <c r="I68" s="20" t="s">
        <v>4</v>
      </c>
      <c r="J68" s="20" t="s">
        <v>34</v>
      </c>
      <c r="K68" s="24">
        <v>3</v>
      </c>
      <c r="L68" s="20" t="s">
        <v>176</v>
      </c>
      <c r="M68" s="20" t="s">
        <v>33</v>
      </c>
      <c r="N68" s="20" t="s">
        <v>36</v>
      </c>
      <c r="O68" s="20" t="s">
        <v>37</v>
      </c>
      <c r="P68" s="20" t="s">
        <v>38</v>
      </c>
      <c r="Q68" s="20" t="s">
        <v>29</v>
      </c>
      <c r="R68" s="20" t="s">
        <v>177</v>
      </c>
      <c r="S68" s="20" t="s">
        <v>40</v>
      </c>
      <c r="T68" s="26" t="s">
        <v>525</v>
      </c>
      <c r="U68" s="26" t="s">
        <v>526</v>
      </c>
      <c r="V68" s="25"/>
    </row>
    <row r="69" spans="1:22" x14ac:dyDescent="0.35">
      <c r="A69" s="20" t="s">
        <v>173</v>
      </c>
      <c r="B69" s="21" t="s">
        <v>639</v>
      </c>
      <c r="C69" s="47"/>
      <c r="D69" s="26" t="s">
        <v>696</v>
      </c>
      <c r="E69" s="20" t="s">
        <v>645</v>
      </c>
      <c r="F69" s="26" t="s">
        <v>697</v>
      </c>
      <c r="G69" s="26"/>
      <c r="H69" s="20" t="s">
        <v>178</v>
      </c>
      <c r="I69" s="20" t="s">
        <v>141</v>
      </c>
      <c r="J69" s="20" t="s">
        <v>142</v>
      </c>
      <c r="K69" s="27">
        <v>331.78</v>
      </c>
      <c r="L69" s="20" t="s">
        <v>179</v>
      </c>
      <c r="M69" s="20" t="s">
        <v>178</v>
      </c>
      <c r="N69" s="20" t="s">
        <v>180</v>
      </c>
      <c r="O69" s="20" t="s">
        <v>181</v>
      </c>
      <c r="P69" s="20" t="s">
        <v>182</v>
      </c>
      <c r="Q69" s="20" t="s">
        <v>29</v>
      </c>
      <c r="R69" s="20" t="s">
        <v>183</v>
      </c>
      <c r="S69" s="20" t="s">
        <v>184</v>
      </c>
      <c r="T69" s="29" t="s">
        <v>525</v>
      </c>
      <c r="U69" s="29" t="s">
        <v>526</v>
      </c>
      <c r="V69" s="25"/>
    </row>
    <row r="70" spans="1:22" x14ac:dyDescent="0.35">
      <c r="A70" s="20" t="s">
        <v>161</v>
      </c>
      <c r="B70" s="21" t="s">
        <v>639</v>
      </c>
      <c r="C70" s="47"/>
      <c r="D70" s="22" t="s">
        <v>644</v>
      </c>
      <c r="E70" s="23" t="s">
        <v>645</v>
      </c>
      <c r="F70" s="20" t="s">
        <v>646</v>
      </c>
      <c r="G70" s="26"/>
      <c r="H70" s="20" t="s">
        <v>162</v>
      </c>
      <c r="I70" s="20" t="s">
        <v>4</v>
      </c>
      <c r="J70" s="20" t="s">
        <v>34</v>
      </c>
      <c r="K70" s="27">
        <v>98.03</v>
      </c>
      <c r="L70" s="20" t="s">
        <v>163</v>
      </c>
      <c r="M70" s="20" t="s">
        <v>162</v>
      </c>
      <c r="N70" s="20" t="s">
        <v>164</v>
      </c>
      <c r="O70" s="20" t="s">
        <v>37</v>
      </c>
      <c r="P70" s="20" t="s">
        <v>165</v>
      </c>
      <c r="Q70" s="20" t="s">
        <v>29</v>
      </c>
      <c r="R70" s="20" t="s">
        <v>166</v>
      </c>
      <c r="S70" s="20" t="s">
        <v>56</v>
      </c>
      <c r="T70" s="41" t="s">
        <v>529</v>
      </c>
      <c r="U70" s="41" t="s">
        <v>530</v>
      </c>
      <c r="V70" s="25"/>
    </row>
    <row r="71" spans="1:22" x14ac:dyDescent="0.35">
      <c r="A71" s="20" t="s">
        <v>161</v>
      </c>
      <c r="B71" s="21" t="s">
        <v>639</v>
      </c>
      <c r="C71" s="47"/>
      <c r="D71" s="20" t="s">
        <v>649</v>
      </c>
      <c r="E71" s="20" t="s">
        <v>654</v>
      </c>
      <c r="F71" s="20" t="s">
        <v>700</v>
      </c>
      <c r="G71" s="20"/>
      <c r="H71" s="20" t="s">
        <v>167</v>
      </c>
      <c r="I71" s="20" t="s">
        <v>4</v>
      </c>
      <c r="J71" s="20" t="s">
        <v>34</v>
      </c>
      <c r="K71" s="24">
        <v>398</v>
      </c>
      <c r="L71" s="20" t="s">
        <v>168</v>
      </c>
      <c r="M71" s="20" t="s">
        <v>167</v>
      </c>
      <c r="N71" s="20" t="s">
        <v>169</v>
      </c>
      <c r="O71" s="20" t="s">
        <v>170</v>
      </c>
      <c r="P71" s="20" t="s">
        <v>171</v>
      </c>
      <c r="Q71" s="20" t="s">
        <v>29</v>
      </c>
      <c r="R71" s="20" t="s">
        <v>172</v>
      </c>
      <c r="S71" s="20" t="s">
        <v>117</v>
      </c>
      <c r="T71" s="28" t="s">
        <v>553</v>
      </c>
      <c r="U71" s="28" t="s">
        <v>554</v>
      </c>
      <c r="V71" s="25"/>
    </row>
    <row r="72" spans="1:22" x14ac:dyDescent="0.35">
      <c r="A72" s="20" t="s">
        <v>156</v>
      </c>
      <c r="B72" s="21" t="s">
        <v>639</v>
      </c>
      <c r="C72" s="47"/>
      <c r="D72" s="22" t="s">
        <v>731</v>
      </c>
      <c r="E72" s="23" t="s">
        <v>645</v>
      </c>
      <c r="F72" s="22" t="s">
        <v>729</v>
      </c>
      <c r="G72" s="20" t="s">
        <v>734</v>
      </c>
      <c r="H72" s="20" t="s">
        <v>126</v>
      </c>
      <c r="I72" s="20" t="s">
        <v>4</v>
      </c>
      <c r="J72" s="20" t="s">
        <v>34</v>
      </c>
      <c r="K72" s="27">
        <v>8.99</v>
      </c>
      <c r="L72" s="20" t="s">
        <v>157</v>
      </c>
      <c r="M72" s="20" t="s">
        <v>126</v>
      </c>
      <c r="N72" s="20" t="s">
        <v>128</v>
      </c>
      <c r="O72" s="20" t="s">
        <v>129</v>
      </c>
      <c r="P72" s="20" t="s">
        <v>130</v>
      </c>
      <c r="Q72" s="20" t="s">
        <v>29</v>
      </c>
      <c r="R72" s="20" t="s">
        <v>158</v>
      </c>
      <c r="S72" s="20" t="s">
        <v>93</v>
      </c>
      <c r="T72" s="16" t="s">
        <v>541</v>
      </c>
      <c r="U72" s="16" t="s">
        <v>542</v>
      </c>
      <c r="V72" s="25"/>
    </row>
    <row r="73" spans="1:22" x14ac:dyDescent="0.35">
      <c r="A73" s="20" t="s">
        <v>156</v>
      </c>
      <c r="B73" s="21" t="s">
        <v>639</v>
      </c>
      <c r="C73" s="47"/>
      <c r="D73" s="22" t="s">
        <v>731</v>
      </c>
      <c r="E73" s="23" t="s">
        <v>645</v>
      </c>
      <c r="F73" s="22" t="s">
        <v>729</v>
      </c>
      <c r="G73" s="20" t="s">
        <v>734</v>
      </c>
      <c r="H73" s="20" t="s">
        <v>126</v>
      </c>
      <c r="I73" s="20" t="s">
        <v>4</v>
      </c>
      <c r="J73" s="20" t="s">
        <v>34</v>
      </c>
      <c r="K73" s="24">
        <v>55.94</v>
      </c>
      <c r="L73" s="20" t="s">
        <v>159</v>
      </c>
      <c r="M73" s="20" t="s">
        <v>126</v>
      </c>
      <c r="N73" s="20" t="s">
        <v>128</v>
      </c>
      <c r="O73" s="20" t="s">
        <v>129</v>
      </c>
      <c r="P73" s="20" t="s">
        <v>130</v>
      </c>
      <c r="Q73" s="20" t="s">
        <v>29</v>
      </c>
      <c r="R73" s="20" t="s">
        <v>160</v>
      </c>
      <c r="S73" s="20" t="s">
        <v>93</v>
      </c>
      <c r="T73" s="16" t="s">
        <v>541</v>
      </c>
      <c r="U73" s="16" t="s">
        <v>542</v>
      </c>
      <c r="V73" s="25"/>
    </row>
    <row r="74" spans="1:22" x14ac:dyDescent="0.35">
      <c r="A74" s="20" t="s">
        <v>147</v>
      </c>
      <c r="B74" s="21" t="s">
        <v>639</v>
      </c>
      <c r="C74" s="47"/>
      <c r="D74" s="39" t="s">
        <v>674</v>
      </c>
      <c r="E74" s="20" t="s">
        <v>654</v>
      </c>
      <c r="F74" s="20" t="s">
        <v>716</v>
      </c>
      <c r="G74" s="20"/>
      <c r="H74" s="20" t="s">
        <v>148</v>
      </c>
      <c r="I74" s="20" t="s">
        <v>4</v>
      </c>
      <c r="J74" s="20" t="s">
        <v>34</v>
      </c>
      <c r="K74" s="27">
        <v>76.55</v>
      </c>
      <c r="L74" s="20" t="s">
        <v>149</v>
      </c>
      <c r="M74" s="20" t="s">
        <v>148</v>
      </c>
      <c r="N74" s="20" t="s">
        <v>150</v>
      </c>
      <c r="O74" s="20" t="s">
        <v>151</v>
      </c>
      <c r="P74" s="20" t="s">
        <v>152</v>
      </c>
      <c r="Q74" s="20" t="s">
        <v>29</v>
      </c>
      <c r="R74" s="20" t="s">
        <v>153</v>
      </c>
      <c r="S74" s="20" t="s">
        <v>93</v>
      </c>
      <c r="T74" s="16" t="s">
        <v>553</v>
      </c>
      <c r="U74" s="16" t="s">
        <v>554</v>
      </c>
      <c r="V74" s="25"/>
    </row>
    <row r="75" spans="1:22" x14ac:dyDescent="0.35">
      <c r="A75" s="20" t="s">
        <v>147</v>
      </c>
      <c r="B75" s="21" t="s">
        <v>639</v>
      </c>
      <c r="C75" s="47"/>
      <c r="D75" s="20" t="s">
        <v>649</v>
      </c>
      <c r="E75" s="20" t="s">
        <v>654</v>
      </c>
      <c r="F75" s="20" t="s">
        <v>717</v>
      </c>
      <c r="G75" s="20"/>
      <c r="H75" s="20" t="s">
        <v>148</v>
      </c>
      <c r="I75" s="20" t="s">
        <v>4</v>
      </c>
      <c r="J75" s="20" t="s">
        <v>34</v>
      </c>
      <c r="K75" s="24">
        <v>217.74</v>
      </c>
      <c r="L75" s="20" t="s">
        <v>154</v>
      </c>
      <c r="M75" s="20" t="s">
        <v>148</v>
      </c>
      <c r="N75" s="20" t="s">
        <v>150</v>
      </c>
      <c r="O75" s="20" t="s">
        <v>151</v>
      </c>
      <c r="P75" s="20" t="s">
        <v>152</v>
      </c>
      <c r="Q75" s="20" t="s">
        <v>29</v>
      </c>
      <c r="R75" s="20" t="s">
        <v>155</v>
      </c>
      <c r="S75" s="20" t="s">
        <v>93</v>
      </c>
      <c r="T75" s="16" t="s">
        <v>553</v>
      </c>
      <c r="U75" s="16" t="s">
        <v>554</v>
      </c>
      <c r="V75" s="25"/>
    </row>
    <row r="76" spans="1:22" x14ac:dyDescent="0.35">
      <c r="A76" s="20" t="s">
        <v>139</v>
      </c>
      <c r="B76" s="21" t="s">
        <v>639</v>
      </c>
      <c r="C76" s="47"/>
      <c r="D76" s="20" t="s">
        <v>678</v>
      </c>
      <c r="E76" s="20" t="s">
        <v>654</v>
      </c>
      <c r="F76" s="20" t="s">
        <v>689</v>
      </c>
      <c r="G76" s="26" t="s">
        <v>690</v>
      </c>
      <c r="H76" s="20" t="s">
        <v>140</v>
      </c>
      <c r="I76" s="20" t="s">
        <v>141</v>
      </c>
      <c r="J76" s="20" t="s">
        <v>142</v>
      </c>
      <c r="K76" s="27">
        <v>400</v>
      </c>
      <c r="L76" s="20" t="s">
        <v>143</v>
      </c>
      <c r="M76" s="20" t="s">
        <v>140</v>
      </c>
      <c r="N76" s="20" t="s">
        <v>0</v>
      </c>
      <c r="O76" s="20" t="s">
        <v>0</v>
      </c>
      <c r="P76" s="20" t="s">
        <v>0</v>
      </c>
      <c r="Q76" s="20" t="s">
        <v>0</v>
      </c>
      <c r="R76" s="20" t="s">
        <v>144</v>
      </c>
      <c r="S76" s="20" t="s">
        <v>145</v>
      </c>
      <c r="T76" s="22" t="s">
        <v>559</v>
      </c>
      <c r="U76" s="22" t="s">
        <v>560</v>
      </c>
      <c r="V76" s="25"/>
    </row>
    <row r="77" spans="1:22" x14ac:dyDescent="0.35">
      <c r="A77" s="20" t="s">
        <v>139</v>
      </c>
      <c r="B77" s="21" t="s">
        <v>639</v>
      </c>
      <c r="C77" s="47"/>
      <c r="D77" s="20" t="s">
        <v>678</v>
      </c>
      <c r="E77" s="20" t="s">
        <v>654</v>
      </c>
      <c r="F77" s="20" t="s">
        <v>689</v>
      </c>
      <c r="G77" s="26" t="s">
        <v>691</v>
      </c>
      <c r="H77" s="20" t="s">
        <v>140</v>
      </c>
      <c r="I77" s="20" t="s">
        <v>4</v>
      </c>
      <c r="J77" s="20" t="s">
        <v>34</v>
      </c>
      <c r="K77" s="24">
        <v>895</v>
      </c>
      <c r="L77" s="20" t="s">
        <v>143</v>
      </c>
      <c r="M77" s="20" t="s">
        <v>140</v>
      </c>
      <c r="N77" s="20" t="s">
        <v>0</v>
      </c>
      <c r="O77" s="20" t="s">
        <v>0</v>
      </c>
      <c r="P77" s="20" t="s">
        <v>0</v>
      </c>
      <c r="Q77" s="20" t="s">
        <v>0</v>
      </c>
      <c r="R77" s="20" t="s">
        <v>146</v>
      </c>
      <c r="S77" s="20" t="s">
        <v>145</v>
      </c>
      <c r="T77" s="22" t="s">
        <v>559</v>
      </c>
      <c r="U77" s="22" t="s">
        <v>560</v>
      </c>
      <c r="V77" s="25"/>
    </row>
    <row r="78" spans="1:22" x14ac:dyDescent="0.35">
      <c r="A78" s="20" t="s">
        <v>132</v>
      </c>
      <c r="B78" s="21" t="s">
        <v>639</v>
      </c>
      <c r="C78" s="47"/>
      <c r="D78" s="20" t="s">
        <v>649</v>
      </c>
      <c r="E78" s="20" t="s">
        <v>641</v>
      </c>
      <c r="F78" s="20" t="s">
        <v>705</v>
      </c>
      <c r="G78" s="20"/>
      <c r="H78" s="20" t="s">
        <v>133</v>
      </c>
      <c r="I78" s="20" t="s">
        <v>4</v>
      </c>
      <c r="J78" s="20" t="s">
        <v>34</v>
      </c>
      <c r="K78" s="24">
        <v>23.19</v>
      </c>
      <c r="L78" s="20" t="s">
        <v>134</v>
      </c>
      <c r="M78" s="20" t="s">
        <v>133</v>
      </c>
      <c r="N78" s="20" t="s">
        <v>135</v>
      </c>
      <c r="O78" s="20" t="s">
        <v>136</v>
      </c>
      <c r="P78" s="20" t="s">
        <v>137</v>
      </c>
      <c r="Q78" s="20" t="s">
        <v>29</v>
      </c>
      <c r="R78" s="20" t="s">
        <v>138</v>
      </c>
      <c r="S78" s="20" t="s">
        <v>71</v>
      </c>
      <c r="T78" s="16" t="s">
        <v>553</v>
      </c>
      <c r="U78" s="16" t="s">
        <v>554</v>
      </c>
      <c r="V78" s="25"/>
    </row>
    <row r="79" spans="1:22" x14ac:dyDescent="0.35">
      <c r="A79" s="20" t="s">
        <v>125</v>
      </c>
      <c r="B79" s="21" t="s">
        <v>639</v>
      </c>
      <c r="C79" s="47"/>
      <c r="D79" s="22" t="s">
        <v>731</v>
      </c>
      <c r="E79" s="23" t="s">
        <v>645</v>
      </c>
      <c r="F79" s="22" t="s">
        <v>729</v>
      </c>
      <c r="G79" s="20" t="s">
        <v>734</v>
      </c>
      <c r="H79" s="20" t="s">
        <v>126</v>
      </c>
      <c r="I79" s="20" t="s">
        <v>4</v>
      </c>
      <c r="J79" s="20" t="s">
        <v>34</v>
      </c>
      <c r="K79" s="27">
        <v>48.98</v>
      </c>
      <c r="L79" s="20" t="s">
        <v>127</v>
      </c>
      <c r="M79" s="20" t="s">
        <v>126</v>
      </c>
      <c r="N79" s="20" t="s">
        <v>128</v>
      </c>
      <c r="O79" s="20" t="s">
        <v>129</v>
      </c>
      <c r="P79" s="20" t="s">
        <v>130</v>
      </c>
      <c r="Q79" s="20" t="s">
        <v>29</v>
      </c>
      <c r="R79" s="20" t="s">
        <v>131</v>
      </c>
      <c r="S79" s="20" t="s">
        <v>93</v>
      </c>
      <c r="T79" s="16" t="s">
        <v>541</v>
      </c>
      <c r="U79" s="16" t="s">
        <v>542</v>
      </c>
      <c r="V79" s="25"/>
    </row>
    <row r="80" spans="1:22" x14ac:dyDescent="0.35">
      <c r="A80" s="20" t="s">
        <v>103</v>
      </c>
      <c r="B80" s="21" t="s">
        <v>639</v>
      </c>
      <c r="C80" s="47"/>
      <c r="D80" s="20" t="s">
        <v>664</v>
      </c>
      <c r="E80" s="20" t="s">
        <v>645</v>
      </c>
      <c r="F80" s="20" t="s">
        <v>665</v>
      </c>
      <c r="G80" s="26"/>
      <c r="H80" s="20" t="s">
        <v>118</v>
      </c>
      <c r="I80" s="20" t="s">
        <v>4</v>
      </c>
      <c r="J80" s="20" t="s">
        <v>34</v>
      </c>
      <c r="K80" s="24">
        <v>10.99</v>
      </c>
      <c r="L80" s="20" t="s">
        <v>119</v>
      </c>
      <c r="M80" s="20" t="s">
        <v>118</v>
      </c>
      <c r="N80" s="20" t="s">
        <v>120</v>
      </c>
      <c r="O80" s="20" t="s">
        <v>121</v>
      </c>
      <c r="P80" s="20" t="s">
        <v>122</v>
      </c>
      <c r="Q80" s="20" t="s">
        <v>29</v>
      </c>
      <c r="R80" s="20" t="s">
        <v>123</v>
      </c>
      <c r="S80" s="20" t="s">
        <v>124</v>
      </c>
      <c r="T80" s="41" t="s">
        <v>541</v>
      </c>
      <c r="U80" s="41" t="s">
        <v>542</v>
      </c>
      <c r="V80" s="25"/>
    </row>
    <row r="81" spans="1:22" x14ac:dyDescent="0.35">
      <c r="A81" s="20" t="s">
        <v>103</v>
      </c>
      <c r="B81" s="20"/>
      <c r="C81" s="47" t="s">
        <v>0</v>
      </c>
      <c r="D81" s="20"/>
      <c r="E81" s="20"/>
      <c r="F81" s="20"/>
      <c r="G81" s="20"/>
      <c r="H81" s="20" t="s">
        <v>111</v>
      </c>
      <c r="I81" s="20" t="s">
        <v>4</v>
      </c>
      <c r="J81" s="20" t="s">
        <v>34</v>
      </c>
      <c r="K81" s="27">
        <v>4740.1499999999996</v>
      </c>
      <c r="L81" s="20" t="s">
        <v>112</v>
      </c>
      <c r="M81" s="20" t="s">
        <v>111</v>
      </c>
      <c r="N81" s="20" t="s">
        <v>113</v>
      </c>
      <c r="O81" s="20" t="s">
        <v>114</v>
      </c>
      <c r="P81" s="20" t="s">
        <v>115</v>
      </c>
      <c r="Q81" s="20" t="s">
        <v>29</v>
      </c>
      <c r="R81" s="20" t="s">
        <v>116</v>
      </c>
      <c r="S81" s="20" t="s">
        <v>117</v>
      </c>
      <c r="T81" s="42" t="s">
        <v>735</v>
      </c>
      <c r="U81" s="42" t="s">
        <v>735</v>
      </c>
      <c r="V81" s="25" t="s">
        <v>737</v>
      </c>
    </row>
    <row r="82" spans="1:22" x14ac:dyDescent="0.35">
      <c r="A82" s="20" t="s">
        <v>103</v>
      </c>
      <c r="B82" s="20"/>
      <c r="C82" s="47" t="s">
        <v>0</v>
      </c>
      <c r="D82" s="20"/>
      <c r="E82" s="20"/>
      <c r="F82" s="20"/>
      <c r="G82" s="20"/>
      <c r="H82" s="20" t="s">
        <v>104</v>
      </c>
      <c r="I82" s="20" t="s">
        <v>4</v>
      </c>
      <c r="J82" s="20" t="s">
        <v>34</v>
      </c>
      <c r="K82" s="24">
        <v>8684</v>
      </c>
      <c r="L82" s="20" t="s">
        <v>105</v>
      </c>
      <c r="M82" s="20" t="s">
        <v>104</v>
      </c>
      <c r="N82" s="20" t="s">
        <v>106</v>
      </c>
      <c r="O82" s="20" t="s">
        <v>107</v>
      </c>
      <c r="P82" s="20" t="s">
        <v>108</v>
      </c>
      <c r="Q82" s="20" t="s">
        <v>29</v>
      </c>
      <c r="R82" s="20" t="s">
        <v>109</v>
      </c>
      <c r="S82" s="20" t="s">
        <v>110</v>
      </c>
      <c r="T82" s="42" t="s">
        <v>735</v>
      </c>
      <c r="U82" s="42" t="s">
        <v>735</v>
      </c>
      <c r="V82" s="25" t="s">
        <v>738</v>
      </c>
    </row>
    <row r="83" spans="1:22" x14ac:dyDescent="0.35">
      <c r="A83" s="20" t="s">
        <v>86</v>
      </c>
      <c r="B83" s="21" t="s">
        <v>639</v>
      </c>
      <c r="C83" s="47"/>
      <c r="D83" s="23" t="s">
        <v>649</v>
      </c>
      <c r="E83" s="20" t="s">
        <v>641</v>
      </c>
      <c r="F83" s="20" t="s">
        <v>706</v>
      </c>
      <c r="G83" s="20"/>
      <c r="H83" s="20" t="s">
        <v>87</v>
      </c>
      <c r="I83" s="20" t="s">
        <v>4</v>
      </c>
      <c r="J83" s="20" t="s">
        <v>34</v>
      </c>
      <c r="K83" s="27">
        <v>15.99</v>
      </c>
      <c r="L83" s="20" t="s">
        <v>88</v>
      </c>
      <c r="M83" s="20" t="s">
        <v>87</v>
      </c>
      <c r="N83" s="20" t="s">
        <v>89</v>
      </c>
      <c r="O83" s="20" t="s">
        <v>90</v>
      </c>
      <c r="P83" s="20" t="s">
        <v>91</v>
      </c>
      <c r="Q83" s="20" t="s">
        <v>29</v>
      </c>
      <c r="R83" s="20" t="s">
        <v>92</v>
      </c>
      <c r="S83" s="20" t="s">
        <v>93</v>
      </c>
      <c r="T83" s="85" t="s">
        <v>553</v>
      </c>
      <c r="U83" s="85" t="s">
        <v>554</v>
      </c>
      <c r="V83" s="25"/>
    </row>
    <row r="84" spans="1:22" x14ac:dyDescent="0.35">
      <c r="A84" s="20" t="s">
        <v>86</v>
      </c>
      <c r="B84" s="21" t="s">
        <v>639</v>
      </c>
      <c r="C84" s="47"/>
      <c r="D84" s="26" t="s">
        <v>649</v>
      </c>
      <c r="E84" s="20" t="s">
        <v>645</v>
      </c>
      <c r="F84" s="26" t="s">
        <v>650</v>
      </c>
      <c r="G84" s="20"/>
      <c r="H84" s="20" t="s">
        <v>65</v>
      </c>
      <c r="I84" s="20" t="s">
        <v>23</v>
      </c>
      <c r="J84" s="20" t="s">
        <v>24</v>
      </c>
      <c r="K84" s="27">
        <v>21</v>
      </c>
      <c r="L84" s="20" t="s">
        <v>101</v>
      </c>
      <c r="M84" s="20" t="s">
        <v>65</v>
      </c>
      <c r="N84" s="20" t="s">
        <v>67</v>
      </c>
      <c r="O84" s="20" t="s">
        <v>68</v>
      </c>
      <c r="P84" s="20" t="s">
        <v>69</v>
      </c>
      <c r="Q84" s="20" t="s">
        <v>29</v>
      </c>
      <c r="R84" s="20" t="s">
        <v>102</v>
      </c>
      <c r="S84" s="20" t="s">
        <v>71</v>
      </c>
      <c r="T84" s="26" t="s">
        <v>553</v>
      </c>
      <c r="U84" s="26" t="s">
        <v>554</v>
      </c>
      <c r="V84" s="25"/>
    </row>
    <row r="85" spans="1:22" x14ac:dyDescent="0.35">
      <c r="A85" s="20" t="s">
        <v>86</v>
      </c>
      <c r="B85" s="20"/>
      <c r="C85" s="47" t="s">
        <v>0</v>
      </c>
      <c r="D85" s="20"/>
      <c r="E85" s="20"/>
      <c r="F85" s="20"/>
      <c r="G85" s="20"/>
      <c r="H85" s="20" t="s">
        <v>94</v>
      </c>
      <c r="I85" s="20" t="s">
        <v>4</v>
      </c>
      <c r="J85" s="20" t="s">
        <v>34</v>
      </c>
      <c r="K85" s="24">
        <v>3315</v>
      </c>
      <c r="L85" s="20" t="s">
        <v>95</v>
      </c>
      <c r="M85" s="20" t="s">
        <v>94</v>
      </c>
      <c r="N85" s="20" t="s">
        <v>96</v>
      </c>
      <c r="O85" s="20" t="s">
        <v>97</v>
      </c>
      <c r="P85" s="20" t="s">
        <v>98</v>
      </c>
      <c r="Q85" s="20" t="s">
        <v>29</v>
      </c>
      <c r="R85" s="20" t="s">
        <v>99</v>
      </c>
      <c r="S85" s="20" t="s">
        <v>100</v>
      </c>
      <c r="T85" s="42" t="s">
        <v>735</v>
      </c>
      <c r="U85" s="42" t="s">
        <v>735</v>
      </c>
      <c r="V85" s="25" t="s">
        <v>739</v>
      </c>
    </row>
    <row r="86" spans="1:22" x14ac:dyDescent="0.35">
      <c r="A86" s="20" t="s">
        <v>78</v>
      </c>
      <c r="B86" s="21" t="s">
        <v>639</v>
      </c>
      <c r="C86" s="47"/>
      <c r="D86" s="23" t="s">
        <v>672</v>
      </c>
      <c r="E86" s="20" t="s">
        <v>641</v>
      </c>
      <c r="F86" s="23" t="s">
        <v>673</v>
      </c>
      <c r="G86" s="26"/>
      <c r="H86" s="20" t="s">
        <v>79</v>
      </c>
      <c r="I86" s="20" t="s">
        <v>4</v>
      </c>
      <c r="J86" s="20" t="s">
        <v>34</v>
      </c>
      <c r="K86" s="24">
        <v>426.23</v>
      </c>
      <c r="L86" s="20" t="s">
        <v>80</v>
      </c>
      <c r="M86" s="20" t="s">
        <v>79</v>
      </c>
      <c r="N86" s="20" t="s">
        <v>81</v>
      </c>
      <c r="O86" s="20" t="s">
        <v>82</v>
      </c>
      <c r="P86" s="20" t="s">
        <v>83</v>
      </c>
      <c r="Q86" s="20" t="s">
        <v>29</v>
      </c>
      <c r="R86" s="20" t="s">
        <v>84</v>
      </c>
      <c r="S86" s="20" t="s">
        <v>85</v>
      </c>
      <c r="T86" s="26" t="s">
        <v>565</v>
      </c>
      <c r="U86" s="26" t="s">
        <v>566</v>
      </c>
      <c r="V86" s="25"/>
    </row>
    <row r="87" spans="1:22" x14ac:dyDescent="0.35">
      <c r="A87" s="20" t="s">
        <v>57</v>
      </c>
      <c r="B87" s="21" t="s">
        <v>639</v>
      </c>
      <c r="C87" s="47"/>
      <c r="D87" s="43" t="s">
        <v>678</v>
      </c>
      <c r="E87" s="43" t="s">
        <v>641</v>
      </c>
      <c r="F87" s="26" t="s">
        <v>679</v>
      </c>
      <c r="G87" s="43" t="s">
        <v>680</v>
      </c>
      <c r="H87" s="20" t="s">
        <v>72</v>
      </c>
      <c r="I87" s="20" t="s">
        <v>4</v>
      </c>
      <c r="J87" s="20" t="s">
        <v>34</v>
      </c>
      <c r="K87" s="27">
        <v>30</v>
      </c>
      <c r="L87" s="20" t="s">
        <v>73</v>
      </c>
      <c r="M87" s="20" t="s">
        <v>72</v>
      </c>
      <c r="N87" s="20" t="s">
        <v>74</v>
      </c>
      <c r="O87" s="20" t="s">
        <v>37</v>
      </c>
      <c r="P87" s="20" t="s">
        <v>75</v>
      </c>
      <c r="Q87" s="20" t="s">
        <v>29</v>
      </c>
      <c r="R87" s="20" t="s">
        <v>76</v>
      </c>
      <c r="S87" s="20" t="s">
        <v>77</v>
      </c>
      <c r="T87" s="44" t="s">
        <v>555</v>
      </c>
      <c r="U87" s="44" t="s">
        <v>556</v>
      </c>
      <c r="V87" s="25"/>
    </row>
    <row r="88" spans="1:22" x14ac:dyDescent="0.35">
      <c r="A88" s="20" t="s">
        <v>57</v>
      </c>
      <c r="B88" s="21" t="s">
        <v>639</v>
      </c>
      <c r="C88" s="47"/>
      <c r="D88" s="20" t="s">
        <v>649</v>
      </c>
      <c r="E88" s="20" t="s">
        <v>641</v>
      </c>
      <c r="F88" s="20" t="s">
        <v>728</v>
      </c>
      <c r="G88" s="26"/>
      <c r="H88" s="20" t="s">
        <v>58</v>
      </c>
      <c r="I88" s="20" t="s">
        <v>4</v>
      </c>
      <c r="J88" s="20" t="s">
        <v>34</v>
      </c>
      <c r="K88" s="27">
        <v>54.44</v>
      </c>
      <c r="L88" s="20" t="s">
        <v>59</v>
      </c>
      <c r="M88" s="20" t="s">
        <v>58</v>
      </c>
      <c r="N88" s="20" t="s">
        <v>60</v>
      </c>
      <c r="O88" s="20" t="s">
        <v>61</v>
      </c>
      <c r="P88" s="20" t="s">
        <v>62</v>
      </c>
      <c r="Q88" s="20" t="s">
        <v>29</v>
      </c>
      <c r="R88" s="20" t="s">
        <v>63</v>
      </c>
      <c r="S88" s="20" t="s">
        <v>64</v>
      </c>
      <c r="T88" s="26" t="s">
        <v>553</v>
      </c>
      <c r="U88" s="26" t="s">
        <v>554</v>
      </c>
      <c r="V88" s="25"/>
    </row>
    <row r="89" spans="1:22" x14ac:dyDescent="0.35">
      <c r="A89" s="20" t="s">
        <v>57</v>
      </c>
      <c r="B89" s="21" t="s">
        <v>639</v>
      </c>
      <c r="C89" s="47"/>
      <c r="D89" s="26" t="s">
        <v>649</v>
      </c>
      <c r="E89" s="20" t="s">
        <v>645</v>
      </c>
      <c r="F89" s="26" t="s">
        <v>650</v>
      </c>
      <c r="G89" s="20"/>
      <c r="H89" s="20" t="s">
        <v>65</v>
      </c>
      <c r="I89" s="20" t="s">
        <v>23</v>
      </c>
      <c r="J89" s="20" t="s">
        <v>24</v>
      </c>
      <c r="K89" s="24">
        <v>147</v>
      </c>
      <c r="L89" s="20" t="s">
        <v>66</v>
      </c>
      <c r="M89" s="20" t="s">
        <v>65</v>
      </c>
      <c r="N89" s="20" t="s">
        <v>67</v>
      </c>
      <c r="O89" s="20" t="s">
        <v>68</v>
      </c>
      <c r="P89" s="20" t="s">
        <v>69</v>
      </c>
      <c r="Q89" s="20" t="s">
        <v>29</v>
      </c>
      <c r="R89" s="20" t="s">
        <v>70</v>
      </c>
      <c r="S89" s="20" t="s">
        <v>71</v>
      </c>
      <c r="T89" s="26" t="s">
        <v>553</v>
      </c>
      <c r="U89" s="26" t="s">
        <v>554</v>
      </c>
      <c r="V89" s="25"/>
    </row>
    <row r="90" spans="1:22" x14ac:dyDescent="0.35">
      <c r="A90" s="20" t="s">
        <v>50</v>
      </c>
      <c r="B90" s="21" t="s">
        <v>639</v>
      </c>
      <c r="C90" s="47"/>
      <c r="D90" s="20" t="s">
        <v>644</v>
      </c>
      <c r="E90" s="20" t="s">
        <v>645</v>
      </c>
      <c r="F90" s="20" t="s">
        <v>669</v>
      </c>
      <c r="G90" s="26"/>
      <c r="H90" s="20" t="s">
        <v>51</v>
      </c>
      <c r="I90" s="20" t="s">
        <v>4</v>
      </c>
      <c r="J90" s="20" t="s">
        <v>34</v>
      </c>
      <c r="K90" s="24">
        <v>47.46</v>
      </c>
      <c r="L90" s="20" t="s">
        <v>52</v>
      </c>
      <c r="M90" s="20" t="s">
        <v>51</v>
      </c>
      <c r="N90" s="20" t="s">
        <v>53</v>
      </c>
      <c r="O90" s="20" t="s">
        <v>37</v>
      </c>
      <c r="P90" s="20" t="s">
        <v>54</v>
      </c>
      <c r="Q90" s="20" t="s">
        <v>29</v>
      </c>
      <c r="R90" s="20" t="s">
        <v>55</v>
      </c>
      <c r="S90" s="20" t="s">
        <v>56</v>
      </c>
      <c r="T90" s="16" t="s">
        <v>529</v>
      </c>
      <c r="U90" s="16" t="s">
        <v>530</v>
      </c>
      <c r="V90" s="25"/>
    </row>
    <row r="91" spans="1:22" x14ac:dyDescent="0.35">
      <c r="A91" s="20" t="s">
        <v>32</v>
      </c>
      <c r="B91" s="21" t="s">
        <v>639</v>
      </c>
      <c r="C91" s="37" t="s">
        <v>657</v>
      </c>
      <c r="D91" s="20" t="s">
        <v>658</v>
      </c>
      <c r="E91" s="20" t="s">
        <v>659</v>
      </c>
      <c r="F91" s="38" t="s">
        <v>660</v>
      </c>
      <c r="G91" s="20"/>
      <c r="H91" s="20" t="s">
        <v>33</v>
      </c>
      <c r="I91" s="20" t="s">
        <v>4</v>
      </c>
      <c r="J91" s="20" t="s">
        <v>34</v>
      </c>
      <c r="K91" s="27">
        <v>3</v>
      </c>
      <c r="L91" s="20" t="s">
        <v>35</v>
      </c>
      <c r="M91" s="20" t="s">
        <v>33</v>
      </c>
      <c r="N91" s="20" t="s">
        <v>36</v>
      </c>
      <c r="O91" s="20" t="s">
        <v>37</v>
      </c>
      <c r="P91" s="20" t="s">
        <v>38</v>
      </c>
      <c r="Q91" s="20" t="s">
        <v>29</v>
      </c>
      <c r="R91" s="20" t="s">
        <v>39</v>
      </c>
      <c r="S91" s="20" t="s">
        <v>40</v>
      </c>
      <c r="T91" s="26" t="s">
        <v>525</v>
      </c>
      <c r="U91" s="26" t="s">
        <v>526</v>
      </c>
      <c r="V91" s="25"/>
    </row>
    <row r="92" spans="1:22" x14ac:dyDescent="0.35">
      <c r="A92" s="20" t="s">
        <v>32</v>
      </c>
      <c r="B92" s="21" t="s">
        <v>639</v>
      </c>
      <c r="C92" s="37" t="s">
        <v>657</v>
      </c>
      <c r="D92" s="20" t="s">
        <v>658</v>
      </c>
      <c r="E92" s="20" t="s">
        <v>659</v>
      </c>
      <c r="F92" s="38" t="s">
        <v>660</v>
      </c>
      <c r="G92" s="20"/>
      <c r="H92" s="20" t="s">
        <v>33</v>
      </c>
      <c r="I92" s="20" t="s">
        <v>4</v>
      </c>
      <c r="J92" s="20" t="s">
        <v>34</v>
      </c>
      <c r="K92" s="24">
        <v>3</v>
      </c>
      <c r="L92" s="20" t="s">
        <v>41</v>
      </c>
      <c r="M92" s="20" t="s">
        <v>33</v>
      </c>
      <c r="N92" s="20" t="s">
        <v>36</v>
      </c>
      <c r="O92" s="20" t="s">
        <v>37</v>
      </c>
      <c r="P92" s="20" t="s">
        <v>38</v>
      </c>
      <c r="Q92" s="20" t="s">
        <v>29</v>
      </c>
      <c r="R92" s="20" t="s">
        <v>42</v>
      </c>
      <c r="S92" s="20" t="s">
        <v>40</v>
      </c>
      <c r="T92" s="26" t="s">
        <v>525</v>
      </c>
      <c r="U92" s="26" t="s">
        <v>526</v>
      </c>
      <c r="V92" s="25"/>
    </row>
    <row r="93" spans="1:22" x14ac:dyDescent="0.35">
      <c r="A93" s="49" t="s">
        <v>32</v>
      </c>
      <c r="B93" s="50" t="s">
        <v>639</v>
      </c>
      <c r="C93" s="51" t="s">
        <v>736</v>
      </c>
      <c r="D93" s="59" t="s">
        <v>670</v>
      </c>
      <c r="E93" s="66" t="s">
        <v>641</v>
      </c>
      <c r="F93" s="49" t="s">
        <v>671</v>
      </c>
      <c r="G93" s="53"/>
      <c r="H93" s="49" t="s">
        <v>43</v>
      </c>
      <c r="I93" s="49" t="s">
        <v>4</v>
      </c>
      <c r="J93" s="49" t="s">
        <v>34</v>
      </c>
      <c r="K93" s="57">
        <v>221.2</v>
      </c>
      <c r="L93" s="49" t="s">
        <v>44</v>
      </c>
      <c r="M93" s="49" t="s">
        <v>43</v>
      </c>
      <c r="N93" s="49" t="s">
        <v>45</v>
      </c>
      <c r="O93" s="49" t="s">
        <v>46</v>
      </c>
      <c r="P93" s="49" t="s">
        <v>47</v>
      </c>
      <c r="Q93" s="49" t="s">
        <v>29</v>
      </c>
      <c r="R93" s="49" t="s">
        <v>48</v>
      </c>
      <c r="S93" s="49" t="s">
        <v>49</v>
      </c>
      <c r="T93" s="63" t="s">
        <v>504</v>
      </c>
      <c r="U93" s="63" t="s">
        <v>505</v>
      </c>
      <c r="V93" s="56"/>
    </row>
    <row r="94" spans="1:22" x14ac:dyDescent="0.35">
      <c r="A94" s="20" t="s">
        <v>21</v>
      </c>
      <c r="B94" s="21" t="s">
        <v>639</v>
      </c>
      <c r="C94" s="47"/>
      <c r="D94" s="20" t="s">
        <v>713</v>
      </c>
      <c r="E94" s="20" t="s">
        <v>645</v>
      </c>
      <c r="F94" s="20" t="s">
        <v>715</v>
      </c>
      <c r="G94" s="20"/>
      <c r="H94" s="20" t="s">
        <v>22</v>
      </c>
      <c r="I94" s="20" t="s">
        <v>23</v>
      </c>
      <c r="J94" s="20" t="s">
        <v>24</v>
      </c>
      <c r="K94" s="24">
        <v>39.340000000000003</v>
      </c>
      <c r="L94" s="20" t="s">
        <v>25</v>
      </c>
      <c r="M94" s="20" t="s">
        <v>22</v>
      </c>
      <c r="N94" s="20" t="s">
        <v>26</v>
      </c>
      <c r="O94" s="20" t="s">
        <v>27</v>
      </c>
      <c r="P94" s="20" t="s">
        <v>28</v>
      </c>
      <c r="Q94" s="20" t="s">
        <v>29</v>
      </c>
      <c r="R94" s="20" t="s">
        <v>30</v>
      </c>
      <c r="S94" s="20" t="s">
        <v>31</v>
      </c>
      <c r="T94" s="16" t="s">
        <v>561</v>
      </c>
      <c r="U94" s="16" t="s">
        <v>562</v>
      </c>
      <c r="V94" s="25"/>
    </row>
    <row r="95" spans="1:22" ht="15" thickBot="1" x14ac:dyDescent="0.4"/>
    <row r="96" spans="1:22" ht="15" thickBot="1" x14ac:dyDescent="0.4">
      <c r="J96" s="1" t="s">
        <v>459</v>
      </c>
      <c r="K96" s="2">
        <f>SUM(K8:K95)</f>
        <v>30747.82</v>
      </c>
    </row>
  </sheetData>
  <autoFilter ref="A7:V94" xr:uid="{00000000-0001-0000-0000-000000000000}">
    <sortState xmlns:xlrd2="http://schemas.microsoft.com/office/spreadsheetml/2017/richdata2" ref="A8:V94">
      <sortCondition ref="A7:A94"/>
    </sortState>
  </autoFilter>
  <mergeCells count="1">
    <mergeCell ref="C1:G1"/>
  </mergeCells>
  <phoneticPr fontId="1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E0AB0-A30D-4D7D-84FD-A751B73043A8}">
  <dimension ref="A1:D85"/>
  <sheetViews>
    <sheetView workbookViewId="0">
      <pane ySplit="1" topLeftCell="A2" activePane="bottomLeft" state="frozen"/>
      <selection pane="bottomLeft" activeCell="I10" sqref="I10"/>
    </sheetView>
  </sheetViews>
  <sheetFormatPr defaultColWidth="8.7265625" defaultRowHeight="14.5" x14ac:dyDescent="0.35"/>
  <cols>
    <col min="1" max="1" width="13.36328125" style="15" bestFit="1" customWidth="1"/>
    <col min="2" max="2" width="40.36328125" style="15" bestFit="1" customWidth="1"/>
    <col min="3" max="3" width="47.36328125" style="15" customWidth="1"/>
    <col min="4" max="4" width="26" style="15" bestFit="1" customWidth="1"/>
    <col min="5" max="16384" width="8.7265625" style="15"/>
  </cols>
  <sheetData>
    <row r="1" spans="1:4" x14ac:dyDescent="0.35">
      <c r="A1" s="14" t="s">
        <v>469</v>
      </c>
      <c r="B1" s="14" t="s">
        <v>470</v>
      </c>
      <c r="C1" s="15" t="s">
        <v>20</v>
      </c>
    </row>
    <row r="2" spans="1:4" x14ac:dyDescent="0.35">
      <c r="A2" s="16" t="s">
        <v>471</v>
      </c>
      <c r="B2" s="16" t="s">
        <v>472</v>
      </c>
      <c r="C2" s="15" t="s">
        <v>473</v>
      </c>
      <c r="D2" s="15" t="s">
        <v>474</v>
      </c>
    </row>
    <row r="3" spans="1:4" x14ac:dyDescent="0.35">
      <c r="A3" s="16" t="s">
        <v>475</v>
      </c>
      <c r="B3" s="16" t="s">
        <v>476</v>
      </c>
    </row>
    <row r="4" spans="1:4" x14ac:dyDescent="0.35">
      <c r="A4" s="16" t="s">
        <v>477</v>
      </c>
      <c r="B4" s="16" t="s">
        <v>478</v>
      </c>
    </row>
    <row r="5" spans="1:4" x14ac:dyDescent="0.35">
      <c r="A5" s="16" t="s">
        <v>479</v>
      </c>
      <c r="B5" s="16" t="s">
        <v>480</v>
      </c>
    </row>
    <row r="6" spans="1:4" x14ac:dyDescent="0.35">
      <c r="A6" s="16" t="s">
        <v>481</v>
      </c>
      <c r="B6" s="16" t="s">
        <v>482</v>
      </c>
    </row>
    <row r="7" spans="1:4" x14ac:dyDescent="0.35">
      <c r="A7" s="16" t="s">
        <v>483</v>
      </c>
      <c r="B7" s="16" t="s">
        <v>484</v>
      </c>
    </row>
    <row r="8" spans="1:4" x14ac:dyDescent="0.35">
      <c r="A8" s="16"/>
      <c r="B8" s="16"/>
    </row>
    <row r="9" spans="1:4" x14ac:dyDescent="0.35">
      <c r="A9" s="16" t="s">
        <v>485</v>
      </c>
      <c r="B9" s="16" t="s">
        <v>486</v>
      </c>
      <c r="C9" s="15" t="s">
        <v>487</v>
      </c>
    </row>
    <row r="10" spans="1:4" x14ac:dyDescent="0.35">
      <c r="A10" s="16" t="s">
        <v>488</v>
      </c>
      <c r="B10" s="16" t="s">
        <v>489</v>
      </c>
    </row>
    <row r="11" spans="1:4" x14ac:dyDescent="0.35">
      <c r="A11" s="16" t="s">
        <v>490</v>
      </c>
      <c r="B11" s="16" t="s">
        <v>491</v>
      </c>
    </row>
    <row r="12" spans="1:4" x14ac:dyDescent="0.35">
      <c r="A12" s="16" t="s">
        <v>492</v>
      </c>
      <c r="B12" s="16" t="s">
        <v>493</v>
      </c>
    </row>
    <row r="13" spans="1:4" x14ac:dyDescent="0.35">
      <c r="A13" s="16"/>
      <c r="B13" s="16"/>
    </row>
    <row r="14" spans="1:4" x14ac:dyDescent="0.35">
      <c r="A14" s="16" t="s">
        <v>494</v>
      </c>
      <c r="B14" s="16" t="s">
        <v>495</v>
      </c>
      <c r="C14" s="15" t="s">
        <v>496</v>
      </c>
      <c r="D14" s="15" t="s">
        <v>497</v>
      </c>
    </row>
    <row r="15" spans="1:4" x14ac:dyDescent="0.35">
      <c r="A15" s="16" t="s">
        <v>498</v>
      </c>
      <c r="B15" s="16" t="s">
        <v>499</v>
      </c>
    </row>
    <row r="16" spans="1:4" x14ac:dyDescent="0.35">
      <c r="A16" s="16" t="s">
        <v>500</v>
      </c>
      <c r="B16" s="16" t="s">
        <v>501</v>
      </c>
    </row>
    <row r="17" spans="1:4" x14ac:dyDescent="0.35">
      <c r="A17" s="17" t="s">
        <v>502</v>
      </c>
      <c r="B17" s="17" t="s">
        <v>503</v>
      </c>
    </row>
    <row r="18" spans="1:4" x14ac:dyDescent="0.35">
      <c r="A18" s="17" t="s">
        <v>504</v>
      </c>
      <c r="B18" s="17" t="s">
        <v>505</v>
      </c>
    </row>
    <row r="19" spans="1:4" x14ac:dyDescent="0.35">
      <c r="A19" s="16" t="s">
        <v>506</v>
      </c>
      <c r="B19" s="16" t="s">
        <v>507</v>
      </c>
    </row>
    <row r="20" spans="1:4" x14ac:dyDescent="0.35">
      <c r="A20" s="16" t="s">
        <v>508</v>
      </c>
      <c r="B20" s="16" t="s">
        <v>509</v>
      </c>
    </row>
    <row r="21" spans="1:4" x14ac:dyDescent="0.35">
      <c r="A21" s="16" t="s">
        <v>510</v>
      </c>
      <c r="B21" s="16" t="s">
        <v>511</v>
      </c>
    </row>
    <row r="22" spans="1:4" x14ac:dyDescent="0.35">
      <c r="A22" s="16" t="s">
        <v>512</v>
      </c>
      <c r="B22" s="16" t="s">
        <v>513</v>
      </c>
    </row>
    <row r="23" spans="1:4" x14ac:dyDescent="0.35">
      <c r="A23" s="16" t="s">
        <v>514</v>
      </c>
      <c r="B23" s="16" t="s">
        <v>515</v>
      </c>
    </row>
    <row r="24" spans="1:4" x14ac:dyDescent="0.35">
      <c r="A24" s="16"/>
      <c r="B24" s="16"/>
    </row>
    <row r="25" spans="1:4" x14ac:dyDescent="0.35">
      <c r="A25" s="16" t="s">
        <v>516</v>
      </c>
      <c r="B25" s="16" t="s">
        <v>517</v>
      </c>
      <c r="C25" s="15" t="s">
        <v>518</v>
      </c>
    </row>
    <row r="26" spans="1:4" x14ac:dyDescent="0.35">
      <c r="A26" s="16" t="s">
        <v>519</v>
      </c>
      <c r="B26" s="16" t="s">
        <v>520</v>
      </c>
    </row>
    <row r="27" spans="1:4" x14ac:dyDescent="0.35">
      <c r="A27" s="18" t="s">
        <v>521</v>
      </c>
      <c r="B27" s="19" t="s">
        <v>522</v>
      </c>
    </row>
    <row r="28" spans="1:4" x14ac:dyDescent="0.35">
      <c r="A28" s="16" t="s">
        <v>523</v>
      </c>
      <c r="B28" s="16" t="s">
        <v>524</v>
      </c>
    </row>
    <row r="29" spans="1:4" x14ac:dyDescent="0.35">
      <c r="A29" s="16"/>
      <c r="B29" s="16"/>
    </row>
    <row r="30" spans="1:4" x14ac:dyDescent="0.35">
      <c r="A30" s="17" t="s">
        <v>525</v>
      </c>
      <c r="B30" s="17" t="s">
        <v>526</v>
      </c>
      <c r="C30" s="15" t="s">
        <v>527</v>
      </c>
      <c r="D30" s="15" t="s">
        <v>528</v>
      </c>
    </row>
    <row r="31" spans="1:4" x14ac:dyDescent="0.35">
      <c r="A31" s="17" t="s">
        <v>529</v>
      </c>
      <c r="B31" s="17" t="s">
        <v>530</v>
      </c>
    </row>
    <row r="32" spans="1:4" x14ac:dyDescent="0.35">
      <c r="A32" s="16" t="s">
        <v>531</v>
      </c>
      <c r="B32" s="16" t="s">
        <v>532</v>
      </c>
    </row>
    <row r="33" spans="1:3" x14ac:dyDescent="0.35">
      <c r="A33" s="16" t="s">
        <v>533</v>
      </c>
      <c r="B33" s="16" t="s">
        <v>534</v>
      </c>
    </row>
    <row r="34" spans="1:3" x14ac:dyDescent="0.35">
      <c r="A34" s="16" t="s">
        <v>535</v>
      </c>
      <c r="B34" s="16" t="s">
        <v>536</v>
      </c>
    </row>
    <row r="35" spans="1:3" x14ac:dyDescent="0.35">
      <c r="A35" s="16" t="s">
        <v>537</v>
      </c>
      <c r="B35" s="16" t="s">
        <v>538</v>
      </c>
    </row>
    <row r="36" spans="1:3" x14ac:dyDescent="0.35">
      <c r="A36" s="16" t="s">
        <v>539</v>
      </c>
      <c r="B36" s="16" t="s">
        <v>540</v>
      </c>
    </row>
    <row r="37" spans="1:3" x14ac:dyDescent="0.35">
      <c r="A37" s="17" t="s">
        <v>541</v>
      </c>
      <c r="B37" s="17" t="s">
        <v>542</v>
      </c>
      <c r="C37" s="15" t="s">
        <v>543</v>
      </c>
    </row>
    <row r="38" spans="1:3" x14ac:dyDescent="0.35">
      <c r="A38" s="16" t="s">
        <v>544</v>
      </c>
      <c r="B38" s="16" t="s">
        <v>545</v>
      </c>
      <c r="C38" s="15" t="s">
        <v>546</v>
      </c>
    </row>
    <row r="39" spans="1:3" x14ac:dyDescent="0.35">
      <c r="A39" s="16" t="s">
        <v>547</v>
      </c>
      <c r="B39" s="16" t="s">
        <v>548</v>
      </c>
    </row>
    <row r="40" spans="1:3" x14ac:dyDescent="0.35">
      <c r="A40" s="16" t="s">
        <v>549</v>
      </c>
      <c r="B40" s="16" t="s">
        <v>550</v>
      </c>
    </row>
    <row r="41" spans="1:3" x14ac:dyDescent="0.35">
      <c r="A41" s="16" t="s">
        <v>551</v>
      </c>
      <c r="B41" s="16" t="s">
        <v>552</v>
      </c>
    </row>
    <row r="42" spans="1:3" x14ac:dyDescent="0.35">
      <c r="A42" s="17" t="s">
        <v>553</v>
      </c>
      <c r="B42" s="17" t="s">
        <v>554</v>
      </c>
    </row>
    <row r="43" spans="1:3" x14ac:dyDescent="0.35">
      <c r="A43" s="17" t="s">
        <v>555</v>
      </c>
      <c r="B43" s="17" t="s">
        <v>556</v>
      </c>
    </row>
    <row r="44" spans="1:3" x14ac:dyDescent="0.35">
      <c r="A44" s="17" t="s">
        <v>557</v>
      </c>
      <c r="B44" s="17" t="s">
        <v>558</v>
      </c>
    </row>
    <row r="45" spans="1:3" x14ac:dyDescent="0.35">
      <c r="A45" s="16" t="s">
        <v>559</v>
      </c>
      <c r="B45" s="16" t="s">
        <v>560</v>
      </c>
    </row>
    <row r="46" spans="1:3" x14ac:dyDescent="0.35">
      <c r="A46" s="17" t="s">
        <v>561</v>
      </c>
      <c r="B46" s="17" t="s">
        <v>562</v>
      </c>
    </row>
    <row r="47" spans="1:3" x14ac:dyDescent="0.35">
      <c r="A47" s="17" t="s">
        <v>563</v>
      </c>
      <c r="B47" s="17" t="s">
        <v>564</v>
      </c>
    </row>
    <row r="48" spans="1:3" x14ac:dyDescent="0.35">
      <c r="A48" s="17" t="s">
        <v>565</v>
      </c>
      <c r="B48" s="17" t="s">
        <v>566</v>
      </c>
    </row>
    <row r="49" spans="1:3" x14ac:dyDescent="0.35">
      <c r="A49" s="16" t="s">
        <v>567</v>
      </c>
      <c r="B49" s="16" t="s">
        <v>568</v>
      </c>
      <c r="C49" s="15" t="s">
        <v>569</v>
      </c>
    </row>
    <row r="50" spans="1:3" x14ac:dyDescent="0.35">
      <c r="A50" s="16" t="s">
        <v>570</v>
      </c>
      <c r="B50" s="16" t="s">
        <v>571</v>
      </c>
    </row>
    <row r="51" spans="1:3" x14ac:dyDescent="0.35">
      <c r="A51" s="16" t="s">
        <v>572</v>
      </c>
      <c r="B51" s="16" t="s">
        <v>573</v>
      </c>
    </row>
    <row r="52" spans="1:3" x14ac:dyDescent="0.35">
      <c r="A52" s="16" t="s">
        <v>574</v>
      </c>
      <c r="B52" s="16" t="s">
        <v>575</v>
      </c>
    </row>
    <row r="53" spans="1:3" x14ac:dyDescent="0.35">
      <c r="A53" s="16" t="s">
        <v>576</v>
      </c>
      <c r="B53" s="16" t="s">
        <v>577</v>
      </c>
    </row>
    <row r="54" spans="1:3" x14ac:dyDescent="0.35">
      <c r="A54" s="16" t="s">
        <v>578</v>
      </c>
      <c r="B54" s="16" t="s">
        <v>579</v>
      </c>
    </row>
    <row r="55" spans="1:3" x14ac:dyDescent="0.35">
      <c r="A55" s="17" t="s">
        <v>580</v>
      </c>
      <c r="B55" s="17" t="s">
        <v>581</v>
      </c>
    </row>
    <row r="56" spans="1:3" x14ac:dyDescent="0.35">
      <c r="A56" s="16"/>
      <c r="B56" s="16"/>
    </row>
    <row r="57" spans="1:3" x14ac:dyDescent="0.35">
      <c r="A57" s="16" t="s">
        <v>582</v>
      </c>
      <c r="B57" s="16" t="s">
        <v>583</v>
      </c>
      <c r="C57" s="15" t="s">
        <v>584</v>
      </c>
    </row>
    <row r="58" spans="1:3" x14ac:dyDescent="0.35">
      <c r="A58" s="16" t="s">
        <v>585</v>
      </c>
      <c r="B58" s="16" t="s">
        <v>586</v>
      </c>
    </row>
    <row r="59" spans="1:3" x14ac:dyDescent="0.35">
      <c r="A59" s="16" t="s">
        <v>587</v>
      </c>
      <c r="B59" s="16" t="s">
        <v>588</v>
      </c>
    </row>
    <row r="60" spans="1:3" x14ac:dyDescent="0.35">
      <c r="A60" s="16" t="s">
        <v>589</v>
      </c>
      <c r="B60" s="16" t="s">
        <v>590</v>
      </c>
    </row>
    <row r="61" spans="1:3" x14ac:dyDescent="0.35">
      <c r="A61" s="16"/>
      <c r="B61" s="16"/>
    </row>
    <row r="62" spans="1:3" x14ac:dyDescent="0.35">
      <c r="A62" s="16" t="s">
        <v>591</v>
      </c>
      <c r="B62" s="16" t="s">
        <v>592</v>
      </c>
      <c r="C62" s="15" t="s">
        <v>593</v>
      </c>
    </row>
    <row r="63" spans="1:3" x14ac:dyDescent="0.35">
      <c r="A63" s="16" t="s">
        <v>594</v>
      </c>
      <c r="B63" s="16" t="s">
        <v>595</v>
      </c>
    </row>
    <row r="64" spans="1:3" x14ac:dyDescent="0.35">
      <c r="A64" s="16" t="s">
        <v>596</v>
      </c>
      <c r="B64" s="16" t="s">
        <v>597</v>
      </c>
    </row>
    <row r="65" spans="1:3" x14ac:dyDescent="0.35">
      <c r="A65" s="16" t="s">
        <v>598</v>
      </c>
      <c r="B65" s="16" t="s">
        <v>599</v>
      </c>
    </row>
    <row r="66" spans="1:3" x14ac:dyDescent="0.35">
      <c r="A66" s="16"/>
      <c r="B66" s="16"/>
    </row>
    <row r="67" spans="1:3" x14ac:dyDescent="0.35">
      <c r="A67" s="16" t="s">
        <v>600</v>
      </c>
      <c r="B67" s="16" t="s">
        <v>601</v>
      </c>
      <c r="C67" s="15" t="s">
        <v>602</v>
      </c>
    </row>
    <row r="68" spans="1:3" x14ac:dyDescent="0.35">
      <c r="A68" s="16" t="s">
        <v>603</v>
      </c>
      <c r="B68" s="16" t="s">
        <v>604</v>
      </c>
    </row>
    <row r="69" spans="1:3" x14ac:dyDescent="0.35">
      <c r="A69" s="16" t="s">
        <v>605</v>
      </c>
      <c r="B69" s="16" t="s">
        <v>606</v>
      </c>
    </row>
    <row r="70" spans="1:3" x14ac:dyDescent="0.35">
      <c r="A70" s="16" t="s">
        <v>607</v>
      </c>
      <c r="B70" s="16" t="s">
        <v>608</v>
      </c>
    </row>
    <row r="71" spans="1:3" x14ac:dyDescent="0.35">
      <c r="A71" s="16" t="s">
        <v>609</v>
      </c>
      <c r="B71" s="16" t="s">
        <v>610</v>
      </c>
    </row>
    <row r="72" spans="1:3" x14ac:dyDescent="0.35">
      <c r="A72" s="16" t="s">
        <v>611</v>
      </c>
      <c r="B72" s="16" t="s">
        <v>612</v>
      </c>
    </row>
    <row r="73" spans="1:3" x14ac:dyDescent="0.35">
      <c r="A73" s="16" t="s">
        <v>613</v>
      </c>
      <c r="B73" s="16" t="s">
        <v>614</v>
      </c>
    </row>
    <row r="74" spans="1:3" x14ac:dyDescent="0.35">
      <c r="A74" s="16" t="s">
        <v>615</v>
      </c>
      <c r="B74" s="16" t="s">
        <v>616</v>
      </c>
    </row>
    <row r="75" spans="1:3" x14ac:dyDescent="0.35">
      <c r="A75" s="16" t="s">
        <v>617</v>
      </c>
      <c r="B75" s="16" t="s">
        <v>618</v>
      </c>
      <c r="C75" s="15" t="s">
        <v>619</v>
      </c>
    </row>
    <row r="76" spans="1:3" x14ac:dyDescent="0.35">
      <c r="A76" s="16" t="s">
        <v>620</v>
      </c>
      <c r="B76" s="16" t="s">
        <v>621</v>
      </c>
      <c r="C76" s="15" t="s">
        <v>622</v>
      </c>
    </row>
    <row r="77" spans="1:3" x14ac:dyDescent="0.35">
      <c r="A77" s="16" t="s">
        <v>623</v>
      </c>
      <c r="B77" s="16" t="s">
        <v>624</v>
      </c>
    </row>
    <row r="78" spans="1:3" x14ac:dyDescent="0.35">
      <c r="A78" s="16"/>
      <c r="B78" s="16"/>
    </row>
    <row r="79" spans="1:3" x14ac:dyDescent="0.35">
      <c r="A79" s="16" t="s">
        <v>625</v>
      </c>
      <c r="B79" s="16" t="s">
        <v>626</v>
      </c>
      <c r="C79" s="15" t="s">
        <v>627</v>
      </c>
    </row>
    <row r="80" spans="1:3" x14ac:dyDescent="0.35">
      <c r="A80" s="16" t="s">
        <v>628</v>
      </c>
      <c r="B80" s="16" t="s">
        <v>629</v>
      </c>
    </row>
    <row r="81" spans="1:3" x14ac:dyDescent="0.35">
      <c r="A81" s="16" t="s">
        <v>630</v>
      </c>
      <c r="B81" s="16" t="s">
        <v>631</v>
      </c>
    </row>
    <row r="82" spans="1:3" x14ac:dyDescent="0.35">
      <c r="A82" s="16" t="s">
        <v>632</v>
      </c>
      <c r="B82" s="16" t="s">
        <v>633</v>
      </c>
    </row>
    <row r="83" spans="1:3" x14ac:dyDescent="0.35">
      <c r="A83" s="16" t="s">
        <v>634</v>
      </c>
      <c r="B83" s="16" t="s">
        <v>635</v>
      </c>
    </row>
    <row r="85" spans="1:3" x14ac:dyDescent="0.35">
      <c r="A85" s="15" t="s">
        <v>636</v>
      </c>
      <c r="B85" s="15" t="s">
        <v>637</v>
      </c>
      <c r="C85" s="15" t="s">
        <v>638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32723-9CD2-4630-AB33-83AD6690AE50}">
  <sheetPr>
    <tabColor theme="4" tint="0.79998168889431442"/>
  </sheetPr>
  <dimension ref="B2:E90"/>
  <sheetViews>
    <sheetView tabSelected="1" workbookViewId="0">
      <selection activeCell="K21" sqref="K21"/>
    </sheetView>
  </sheetViews>
  <sheetFormatPr defaultColWidth="8.81640625" defaultRowHeight="14.5" x14ac:dyDescent="0.35"/>
  <cols>
    <col min="1" max="1" width="8.81640625" style="70"/>
    <col min="2" max="2" width="34.453125" style="70" customWidth="1"/>
    <col min="3" max="3" width="12.54296875" style="70" bestFit="1" customWidth="1"/>
    <col min="4" max="4" width="25.54296875" style="70" bestFit="1" customWidth="1"/>
    <col min="5" max="5" width="9.453125" style="70" bestFit="1" customWidth="1"/>
    <col min="6" max="16384" width="8.81640625" style="70"/>
  </cols>
  <sheetData>
    <row r="2" spans="2:5" x14ac:dyDescent="0.35">
      <c r="B2" s="69" t="s">
        <v>740</v>
      </c>
      <c r="C2" s="69" t="s">
        <v>466</v>
      </c>
      <c r="D2" s="69" t="s">
        <v>741</v>
      </c>
      <c r="E2" s="69" t="s">
        <v>742</v>
      </c>
    </row>
    <row r="3" spans="2:5" x14ac:dyDescent="0.35">
      <c r="B3" s="71" t="s">
        <v>743</v>
      </c>
      <c r="C3" s="72" t="s">
        <v>553</v>
      </c>
      <c r="D3" s="72" t="s">
        <v>554</v>
      </c>
      <c r="E3" s="22"/>
    </row>
    <row r="4" spans="2:5" ht="14.15" customHeight="1" x14ac:dyDescent="0.35">
      <c r="B4" s="71" t="s">
        <v>744</v>
      </c>
      <c r="C4" s="73" t="s">
        <v>617</v>
      </c>
      <c r="D4" s="73" t="s">
        <v>618</v>
      </c>
      <c r="E4" s="22"/>
    </row>
    <row r="5" spans="2:5" x14ac:dyDescent="0.35">
      <c r="B5" s="71" t="s">
        <v>745</v>
      </c>
      <c r="C5" s="74" t="s">
        <v>555</v>
      </c>
      <c r="D5" s="74" t="s">
        <v>556</v>
      </c>
      <c r="E5" s="22"/>
    </row>
    <row r="6" spans="2:5" x14ac:dyDescent="0.35">
      <c r="B6" s="32" t="s">
        <v>746</v>
      </c>
      <c r="C6" s="73" t="s">
        <v>555</v>
      </c>
      <c r="D6" s="73" t="s">
        <v>556</v>
      </c>
      <c r="E6" s="22"/>
    </row>
    <row r="7" spans="2:5" x14ac:dyDescent="0.35">
      <c r="B7" s="71" t="s">
        <v>747</v>
      </c>
      <c r="C7" s="75" t="s">
        <v>525</v>
      </c>
      <c r="D7" s="75" t="s">
        <v>526</v>
      </c>
      <c r="E7" s="22"/>
    </row>
    <row r="8" spans="2:5" x14ac:dyDescent="0.35">
      <c r="B8" s="71" t="s">
        <v>748</v>
      </c>
      <c r="C8" s="74" t="s">
        <v>502</v>
      </c>
      <c r="D8" s="74" t="s">
        <v>503</v>
      </c>
      <c r="E8" s="22"/>
    </row>
    <row r="9" spans="2:5" x14ac:dyDescent="0.35">
      <c r="B9" s="71" t="s">
        <v>749</v>
      </c>
      <c r="C9" s="75" t="s">
        <v>541</v>
      </c>
      <c r="D9" s="75" t="s">
        <v>542</v>
      </c>
      <c r="E9" s="22"/>
    </row>
    <row r="10" spans="2:5" x14ac:dyDescent="0.35">
      <c r="B10" s="71" t="s">
        <v>750</v>
      </c>
      <c r="C10" s="74" t="s">
        <v>541</v>
      </c>
      <c r="D10" s="74" t="s">
        <v>542</v>
      </c>
      <c r="E10" s="22"/>
    </row>
    <row r="11" spans="2:5" x14ac:dyDescent="0.35">
      <c r="B11" s="71" t="s">
        <v>751</v>
      </c>
      <c r="C11" s="75" t="s">
        <v>541</v>
      </c>
      <c r="D11" s="75" t="s">
        <v>542</v>
      </c>
      <c r="E11" s="22"/>
    </row>
    <row r="12" spans="2:5" x14ac:dyDescent="0.35">
      <c r="B12" s="71" t="s">
        <v>651</v>
      </c>
      <c r="C12" s="73" t="s">
        <v>553</v>
      </c>
      <c r="D12" s="73" t="s">
        <v>554</v>
      </c>
      <c r="E12" s="22"/>
    </row>
    <row r="13" spans="2:5" x14ac:dyDescent="0.35">
      <c r="B13" s="71" t="s">
        <v>725</v>
      </c>
      <c r="C13" s="73" t="s">
        <v>521</v>
      </c>
      <c r="D13" s="36" t="s">
        <v>522</v>
      </c>
      <c r="E13" s="22"/>
    </row>
    <row r="14" spans="2:5" x14ac:dyDescent="0.35">
      <c r="B14" s="71" t="s">
        <v>752</v>
      </c>
      <c r="C14" s="75" t="s">
        <v>529</v>
      </c>
      <c r="D14" s="75" t="s">
        <v>530</v>
      </c>
      <c r="E14" s="22"/>
    </row>
    <row r="15" spans="2:5" ht="14.15" customHeight="1" x14ac:dyDescent="0.35">
      <c r="B15" s="71" t="s">
        <v>753</v>
      </c>
      <c r="C15" s="73" t="s">
        <v>529</v>
      </c>
      <c r="D15" s="73" t="s">
        <v>530</v>
      </c>
      <c r="E15" s="22"/>
    </row>
    <row r="16" spans="2:5" x14ac:dyDescent="0.35">
      <c r="B16" s="71" t="s">
        <v>727</v>
      </c>
      <c r="C16" s="76" t="s">
        <v>553</v>
      </c>
      <c r="D16" s="76" t="s">
        <v>554</v>
      </c>
      <c r="E16" s="22"/>
    </row>
    <row r="17" spans="2:5" x14ac:dyDescent="0.35">
      <c r="B17" s="71" t="s">
        <v>754</v>
      </c>
      <c r="C17" s="76" t="s">
        <v>553</v>
      </c>
      <c r="D17" s="76" t="s">
        <v>554</v>
      </c>
      <c r="E17" s="22"/>
    </row>
    <row r="18" spans="2:5" x14ac:dyDescent="0.35">
      <c r="B18" s="71" t="s">
        <v>755</v>
      </c>
      <c r="C18" s="72" t="s">
        <v>553</v>
      </c>
      <c r="D18" s="72" t="s">
        <v>554</v>
      </c>
      <c r="E18" s="22"/>
    </row>
    <row r="19" spans="2:5" x14ac:dyDescent="0.35">
      <c r="B19" s="71" t="s">
        <v>726</v>
      </c>
      <c r="C19" s="72" t="s">
        <v>521</v>
      </c>
      <c r="D19" s="36" t="s">
        <v>522</v>
      </c>
      <c r="E19" s="22"/>
    </row>
    <row r="20" spans="2:5" x14ac:dyDescent="0.35">
      <c r="B20" s="71" t="s">
        <v>681</v>
      </c>
      <c r="C20" s="76" t="s">
        <v>553</v>
      </c>
      <c r="D20" s="76" t="s">
        <v>554</v>
      </c>
      <c r="E20" s="22"/>
    </row>
    <row r="21" spans="2:5" x14ac:dyDescent="0.35">
      <c r="B21" s="71" t="s">
        <v>756</v>
      </c>
      <c r="C21" s="76" t="s">
        <v>617</v>
      </c>
      <c r="D21" s="76" t="s">
        <v>618</v>
      </c>
      <c r="E21" s="22"/>
    </row>
    <row r="22" spans="2:5" x14ac:dyDescent="0.35">
      <c r="B22" s="71" t="s">
        <v>757</v>
      </c>
      <c r="C22" s="75" t="s">
        <v>529</v>
      </c>
      <c r="D22" s="75" t="s">
        <v>530</v>
      </c>
      <c r="E22" s="22"/>
    </row>
    <row r="23" spans="2:5" x14ac:dyDescent="0.35">
      <c r="B23" s="71" t="s">
        <v>722</v>
      </c>
      <c r="C23" s="77" t="s">
        <v>611</v>
      </c>
      <c r="D23" s="77" t="s">
        <v>612</v>
      </c>
      <c r="E23" s="22"/>
    </row>
    <row r="24" spans="2:5" x14ac:dyDescent="0.35">
      <c r="B24" s="71" t="s">
        <v>758</v>
      </c>
      <c r="C24" s="78" t="s">
        <v>555</v>
      </c>
      <c r="D24" s="78" t="s">
        <v>556</v>
      </c>
      <c r="E24" s="22"/>
    </row>
    <row r="25" spans="2:5" x14ac:dyDescent="0.35">
      <c r="B25" s="71" t="s">
        <v>759</v>
      </c>
      <c r="C25" s="73" t="s">
        <v>617</v>
      </c>
      <c r="D25" s="73" t="s">
        <v>618</v>
      </c>
      <c r="E25" s="22"/>
    </row>
    <row r="26" spans="2:5" x14ac:dyDescent="0.35">
      <c r="B26" s="71" t="s">
        <v>760</v>
      </c>
      <c r="C26" s="78" t="s">
        <v>525</v>
      </c>
      <c r="D26" s="78" t="s">
        <v>526</v>
      </c>
      <c r="E26" s="22"/>
    </row>
    <row r="27" spans="2:5" x14ac:dyDescent="0.35">
      <c r="B27" s="71" t="s">
        <v>761</v>
      </c>
      <c r="C27" s="75" t="s">
        <v>636</v>
      </c>
      <c r="D27" s="75" t="s">
        <v>637</v>
      </c>
      <c r="E27" s="22"/>
    </row>
    <row r="28" spans="2:5" x14ac:dyDescent="0.35">
      <c r="B28" s="71" t="s">
        <v>699</v>
      </c>
      <c r="C28" s="75" t="s">
        <v>529</v>
      </c>
      <c r="D28" s="75" t="s">
        <v>530</v>
      </c>
      <c r="E28" s="22"/>
    </row>
    <row r="29" spans="2:5" x14ac:dyDescent="0.35">
      <c r="B29" s="71" t="s">
        <v>762</v>
      </c>
      <c r="C29" s="75" t="s">
        <v>541</v>
      </c>
      <c r="D29" s="75" t="s">
        <v>542</v>
      </c>
      <c r="E29" s="22"/>
    </row>
    <row r="30" spans="2:5" x14ac:dyDescent="0.35">
      <c r="B30" s="71" t="s">
        <v>763</v>
      </c>
      <c r="C30" s="73" t="s">
        <v>617</v>
      </c>
      <c r="D30" s="73" t="s">
        <v>618</v>
      </c>
      <c r="E30" s="22"/>
    </row>
    <row r="31" spans="2:5" x14ac:dyDescent="0.35">
      <c r="B31" s="23" t="s">
        <v>764</v>
      </c>
      <c r="C31" s="74" t="s">
        <v>553</v>
      </c>
      <c r="D31" s="74" t="s">
        <v>554</v>
      </c>
      <c r="E31" s="22"/>
    </row>
    <row r="32" spans="2:5" x14ac:dyDescent="0.35">
      <c r="B32" s="71" t="s">
        <v>715</v>
      </c>
      <c r="C32" s="75" t="s">
        <v>561</v>
      </c>
      <c r="D32" s="75" t="s">
        <v>562</v>
      </c>
      <c r="E32" s="22"/>
    </row>
    <row r="33" spans="2:5" x14ac:dyDescent="0.35">
      <c r="B33" s="71" t="s">
        <v>765</v>
      </c>
      <c r="C33" s="75" t="s">
        <v>541</v>
      </c>
      <c r="D33" s="75" t="s">
        <v>542</v>
      </c>
      <c r="E33" s="22"/>
    </row>
    <row r="34" spans="2:5" x14ac:dyDescent="0.35">
      <c r="B34" s="71" t="s">
        <v>766</v>
      </c>
      <c r="C34" s="76" t="s">
        <v>620</v>
      </c>
      <c r="D34" s="76" t="s">
        <v>621</v>
      </c>
      <c r="E34" s="22"/>
    </row>
    <row r="35" spans="2:5" x14ac:dyDescent="0.35">
      <c r="B35" s="71" t="s">
        <v>767</v>
      </c>
      <c r="C35" s="75" t="s">
        <v>553</v>
      </c>
      <c r="D35" s="75" t="s">
        <v>554</v>
      </c>
      <c r="E35" s="22"/>
    </row>
    <row r="36" spans="2:5" x14ac:dyDescent="0.35">
      <c r="B36" s="71" t="s">
        <v>705</v>
      </c>
      <c r="C36" s="75" t="s">
        <v>553</v>
      </c>
      <c r="D36" s="75" t="s">
        <v>554</v>
      </c>
      <c r="E36" s="22"/>
    </row>
    <row r="37" spans="2:5" x14ac:dyDescent="0.35">
      <c r="B37" s="71" t="s">
        <v>707</v>
      </c>
      <c r="C37" s="72" t="s">
        <v>553</v>
      </c>
      <c r="D37" s="72" t="s">
        <v>554</v>
      </c>
      <c r="E37" s="22"/>
    </row>
    <row r="38" spans="2:5" x14ac:dyDescent="0.35">
      <c r="B38" s="23" t="s">
        <v>709</v>
      </c>
      <c r="C38" s="73" t="s">
        <v>535</v>
      </c>
      <c r="D38" s="36" t="s">
        <v>536</v>
      </c>
      <c r="E38" s="22"/>
    </row>
    <row r="39" spans="2:5" x14ac:dyDescent="0.35">
      <c r="B39" s="71" t="s">
        <v>768</v>
      </c>
      <c r="C39" s="78" t="s">
        <v>525</v>
      </c>
      <c r="D39" s="78" t="s">
        <v>526</v>
      </c>
      <c r="E39" s="22"/>
    </row>
    <row r="40" spans="2:5" x14ac:dyDescent="0.35">
      <c r="B40" s="71" t="s">
        <v>704</v>
      </c>
      <c r="C40" s="75" t="s">
        <v>525</v>
      </c>
      <c r="D40" s="75" t="s">
        <v>530</v>
      </c>
      <c r="E40" s="22"/>
    </row>
    <row r="41" spans="2:5" x14ac:dyDescent="0.35">
      <c r="B41" s="71" t="s">
        <v>769</v>
      </c>
      <c r="C41" s="75" t="s">
        <v>525</v>
      </c>
      <c r="D41" s="75" t="s">
        <v>526</v>
      </c>
      <c r="E41" s="22"/>
    </row>
    <row r="42" spans="2:5" x14ac:dyDescent="0.35">
      <c r="B42" s="71" t="s">
        <v>770</v>
      </c>
      <c r="C42" s="78" t="s">
        <v>617</v>
      </c>
      <c r="D42" s="78" t="s">
        <v>618</v>
      </c>
      <c r="E42" s="22"/>
    </row>
    <row r="43" spans="2:5" x14ac:dyDescent="0.35">
      <c r="B43" s="23" t="s">
        <v>771</v>
      </c>
      <c r="C43" s="74" t="s">
        <v>535</v>
      </c>
      <c r="D43" s="74" t="s">
        <v>536</v>
      </c>
      <c r="E43" s="22"/>
    </row>
    <row r="44" spans="2:5" x14ac:dyDescent="0.35">
      <c r="B44" s="71" t="s">
        <v>772</v>
      </c>
      <c r="C44" s="72" t="s">
        <v>521</v>
      </c>
      <c r="D44" s="72" t="s">
        <v>522</v>
      </c>
      <c r="E44" s="22"/>
    </row>
    <row r="45" spans="2:5" x14ac:dyDescent="0.35">
      <c r="B45" s="71" t="s">
        <v>773</v>
      </c>
      <c r="C45" s="78" t="s">
        <v>617</v>
      </c>
      <c r="D45" s="78" t="s">
        <v>618</v>
      </c>
      <c r="E45" s="22"/>
    </row>
    <row r="46" spans="2:5" x14ac:dyDescent="0.35">
      <c r="B46" s="71" t="s">
        <v>774</v>
      </c>
      <c r="C46" s="75" t="s">
        <v>529</v>
      </c>
      <c r="D46" s="75" t="s">
        <v>530</v>
      </c>
      <c r="E46" s="22"/>
    </row>
    <row r="47" spans="2:5" x14ac:dyDescent="0.35">
      <c r="B47" s="71" t="s">
        <v>775</v>
      </c>
      <c r="C47" s="74" t="s">
        <v>541</v>
      </c>
      <c r="D47" s="74" t="s">
        <v>542</v>
      </c>
      <c r="E47" s="22"/>
    </row>
    <row r="48" spans="2:5" x14ac:dyDescent="0.35">
      <c r="B48" s="71" t="s">
        <v>776</v>
      </c>
      <c r="C48" s="74" t="s">
        <v>567</v>
      </c>
      <c r="D48" s="74" t="s">
        <v>568</v>
      </c>
      <c r="E48" s="22"/>
    </row>
    <row r="49" spans="2:5" x14ac:dyDescent="0.35">
      <c r="B49" s="71" t="s">
        <v>697</v>
      </c>
      <c r="C49" s="75" t="s">
        <v>525</v>
      </c>
      <c r="D49" s="75" t="s">
        <v>526</v>
      </c>
      <c r="E49" s="22"/>
    </row>
    <row r="50" spans="2:5" x14ac:dyDescent="0.35">
      <c r="B50" s="71" t="s">
        <v>777</v>
      </c>
      <c r="C50" s="75" t="s">
        <v>555</v>
      </c>
      <c r="D50" s="75" t="s">
        <v>556</v>
      </c>
      <c r="E50" s="22"/>
    </row>
    <row r="51" spans="2:5" x14ac:dyDescent="0.35">
      <c r="B51" s="71" t="s">
        <v>650</v>
      </c>
      <c r="C51" s="75" t="s">
        <v>553</v>
      </c>
      <c r="D51" s="75" t="s">
        <v>554</v>
      </c>
      <c r="E51" s="22"/>
    </row>
    <row r="52" spans="2:5" x14ac:dyDescent="0.35">
      <c r="B52" s="71" t="s">
        <v>778</v>
      </c>
      <c r="C52" s="78" t="s">
        <v>553</v>
      </c>
      <c r="D52" s="78" t="s">
        <v>554</v>
      </c>
      <c r="E52" s="22"/>
    </row>
    <row r="53" spans="2:5" x14ac:dyDescent="0.35">
      <c r="B53" s="79" t="s">
        <v>779</v>
      </c>
      <c r="C53" s="80" t="s">
        <v>617</v>
      </c>
      <c r="D53" s="80" t="s">
        <v>618</v>
      </c>
      <c r="E53" s="22"/>
    </row>
    <row r="54" spans="2:5" x14ac:dyDescent="0.35">
      <c r="B54" s="71" t="s">
        <v>780</v>
      </c>
      <c r="C54" s="78" t="s">
        <v>553</v>
      </c>
      <c r="D54" s="78" t="s">
        <v>554</v>
      </c>
      <c r="E54" s="22"/>
    </row>
    <row r="55" spans="2:5" x14ac:dyDescent="0.35">
      <c r="B55" s="71" t="s">
        <v>781</v>
      </c>
      <c r="C55" s="75" t="s">
        <v>555</v>
      </c>
      <c r="D55" s="75" t="s">
        <v>556</v>
      </c>
      <c r="E55" s="22"/>
    </row>
    <row r="56" spans="2:5" x14ac:dyDescent="0.35">
      <c r="B56" s="71" t="s">
        <v>782</v>
      </c>
      <c r="C56" s="78" t="s">
        <v>553</v>
      </c>
      <c r="D56" s="78" t="s">
        <v>554</v>
      </c>
      <c r="E56" s="22"/>
    </row>
    <row r="57" spans="2:5" x14ac:dyDescent="0.35">
      <c r="B57" s="71" t="s">
        <v>783</v>
      </c>
      <c r="C57" s="75" t="s">
        <v>553</v>
      </c>
      <c r="D57" s="75" t="s">
        <v>554</v>
      </c>
      <c r="E57" s="22"/>
    </row>
    <row r="58" spans="2:5" x14ac:dyDescent="0.35">
      <c r="B58" s="71" t="s">
        <v>784</v>
      </c>
      <c r="C58" s="78" t="s">
        <v>553</v>
      </c>
      <c r="D58" s="78" t="s">
        <v>554</v>
      </c>
      <c r="E58" s="22"/>
    </row>
    <row r="59" spans="2:5" x14ac:dyDescent="0.35">
      <c r="B59" s="71" t="s">
        <v>686</v>
      </c>
      <c r="C59" s="75" t="s">
        <v>555</v>
      </c>
      <c r="D59" s="75" t="s">
        <v>556</v>
      </c>
      <c r="E59" s="22"/>
    </row>
    <row r="60" spans="2:5" x14ac:dyDescent="0.35">
      <c r="B60" s="71" t="s">
        <v>785</v>
      </c>
      <c r="C60" s="78" t="s">
        <v>541</v>
      </c>
      <c r="D60" s="78" t="s">
        <v>542</v>
      </c>
      <c r="E60" s="22"/>
    </row>
    <row r="61" spans="2:5" x14ac:dyDescent="0.35">
      <c r="B61" s="71" t="s">
        <v>786</v>
      </c>
      <c r="C61" s="78" t="s">
        <v>541</v>
      </c>
      <c r="D61" s="78" t="s">
        <v>542</v>
      </c>
      <c r="E61" s="22"/>
    </row>
    <row r="62" spans="2:5" x14ac:dyDescent="0.35">
      <c r="B62" s="71" t="s">
        <v>787</v>
      </c>
      <c r="C62" s="75" t="s">
        <v>529</v>
      </c>
      <c r="D62" s="75" t="s">
        <v>530</v>
      </c>
      <c r="E62" s="22"/>
    </row>
    <row r="63" spans="2:5" x14ac:dyDescent="0.35">
      <c r="B63" s="71" t="s">
        <v>788</v>
      </c>
      <c r="C63" s="74" t="s">
        <v>557</v>
      </c>
      <c r="D63" s="75" t="s">
        <v>556</v>
      </c>
      <c r="E63" s="22"/>
    </row>
    <row r="64" spans="2:5" x14ac:dyDescent="0.35">
      <c r="B64" s="71" t="s">
        <v>789</v>
      </c>
      <c r="C64" s="75" t="s">
        <v>525</v>
      </c>
      <c r="D64" s="75" t="s">
        <v>530</v>
      </c>
      <c r="E64" s="22"/>
    </row>
    <row r="65" spans="2:5" x14ac:dyDescent="0.35">
      <c r="B65" s="71" t="s">
        <v>790</v>
      </c>
      <c r="C65" s="75" t="s">
        <v>541</v>
      </c>
      <c r="D65" s="75" t="s">
        <v>542</v>
      </c>
      <c r="E65" s="22"/>
    </row>
    <row r="66" spans="2:5" x14ac:dyDescent="0.35">
      <c r="B66" s="23" t="s">
        <v>791</v>
      </c>
      <c r="C66" s="75" t="s">
        <v>567</v>
      </c>
      <c r="D66" s="75" t="s">
        <v>568</v>
      </c>
      <c r="E66" s="22"/>
    </row>
    <row r="67" spans="2:5" x14ac:dyDescent="0.35">
      <c r="B67" s="71" t="s">
        <v>694</v>
      </c>
      <c r="C67" s="72" t="s">
        <v>553</v>
      </c>
      <c r="D67" s="72" t="s">
        <v>554</v>
      </c>
      <c r="E67" s="22"/>
    </row>
    <row r="68" spans="2:5" x14ac:dyDescent="0.35">
      <c r="B68" s="71" t="s">
        <v>792</v>
      </c>
      <c r="C68" s="75" t="s">
        <v>529</v>
      </c>
      <c r="D68" s="75" t="s">
        <v>530</v>
      </c>
      <c r="E68" s="22"/>
    </row>
    <row r="69" spans="2:5" x14ac:dyDescent="0.35">
      <c r="B69" s="71" t="s">
        <v>793</v>
      </c>
      <c r="C69" s="78" t="s">
        <v>525</v>
      </c>
      <c r="D69" s="78" t="s">
        <v>526</v>
      </c>
      <c r="E69" s="22"/>
    </row>
    <row r="70" spans="2:5" x14ac:dyDescent="0.35">
      <c r="B70" s="71" t="s">
        <v>717</v>
      </c>
      <c r="C70" s="75" t="s">
        <v>553</v>
      </c>
      <c r="D70" s="75" t="s">
        <v>554</v>
      </c>
      <c r="E70" s="22"/>
    </row>
    <row r="71" spans="2:5" x14ac:dyDescent="0.35">
      <c r="B71" s="71" t="s">
        <v>794</v>
      </c>
      <c r="C71" s="75" t="s">
        <v>529</v>
      </c>
      <c r="D71" s="75" t="s">
        <v>530</v>
      </c>
      <c r="E71" s="22"/>
    </row>
    <row r="72" spans="2:5" x14ac:dyDescent="0.35">
      <c r="B72" s="71" t="s">
        <v>795</v>
      </c>
      <c r="C72" s="74" t="s">
        <v>555</v>
      </c>
      <c r="D72" s="74" t="s">
        <v>556</v>
      </c>
      <c r="E72" s="22"/>
    </row>
    <row r="73" spans="2:5" x14ac:dyDescent="0.35">
      <c r="B73" s="71" t="s">
        <v>796</v>
      </c>
      <c r="C73" s="78" t="s">
        <v>525</v>
      </c>
      <c r="D73" s="78" t="s">
        <v>526</v>
      </c>
      <c r="E73" s="22"/>
    </row>
    <row r="74" spans="2:5" x14ac:dyDescent="0.35">
      <c r="B74" s="71" t="s">
        <v>665</v>
      </c>
      <c r="C74" s="75" t="s">
        <v>541</v>
      </c>
      <c r="D74" s="75" t="s">
        <v>542</v>
      </c>
      <c r="E74" s="22"/>
    </row>
    <row r="75" spans="2:5" x14ac:dyDescent="0.35">
      <c r="B75" s="71" t="s">
        <v>797</v>
      </c>
      <c r="C75" s="78" t="s">
        <v>525</v>
      </c>
      <c r="D75" s="78" t="s">
        <v>526</v>
      </c>
      <c r="E75" s="22"/>
    </row>
    <row r="76" spans="2:5" x14ac:dyDescent="0.35">
      <c r="B76" s="71" t="s">
        <v>798</v>
      </c>
      <c r="C76" s="73" t="s">
        <v>502</v>
      </c>
      <c r="D76" s="73" t="s">
        <v>503</v>
      </c>
      <c r="E76" s="22"/>
    </row>
    <row r="77" spans="2:5" x14ac:dyDescent="0.35">
      <c r="B77" s="71" t="s">
        <v>799</v>
      </c>
      <c r="C77" s="74" t="s">
        <v>512</v>
      </c>
      <c r="D77" s="74" t="s">
        <v>513</v>
      </c>
      <c r="E77" s="22"/>
    </row>
    <row r="78" spans="2:5" x14ac:dyDescent="0.35">
      <c r="B78" s="71" t="s">
        <v>673</v>
      </c>
      <c r="C78" s="78" t="s">
        <v>565</v>
      </c>
      <c r="D78" s="78" t="s">
        <v>566</v>
      </c>
      <c r="E78" s="22"/>
    </row>
    <row r="79" spans="2:5" x14ac:dyDescent="0.35">
      <c r="B79" s="71" t="s">
        <v>800</v>
      </c>
      <c r="C79" s="78" t="s">
        <v>565</v>
      </c>
      <c r="D79" s="78" t="s">
        <v>566</v>
      </c>
      <c r="E79" s="22"/>
    </row>
    <row r="80" spans="2:5" x14ac:dyDescent="0.35">
      <c r="B80" s="71" t="s">
        <v>671</v>
      </c>
      <c r="C80" s="75" t="s">
        <v>504</v>
      </c>
      <c r="D80" s="75" t="s">
        <v>505</v>
      </c>
      <c r="E80" s="22"/>
    </row>
    <row r="81" spans="2:5" x14ac:dyDescent="0.35">
      <c r="B81" s="71" t="s">
        <v>801</v>
      </c>
      <c r="C81" s="74" t="s">
        <v>525</v>
      </c>
      <c r="D81" s="74" t="s">
        <v>526</v>
      </c>
      <c r="E81" s="22"/>
    </row>
    <row r="82" spans="2:5" x14ac:dyDescent="0.35">
      <c r="B82" s="71" t="s">
        <v>802</v>
      </c>
      <c r="C82" s="74" t="s">
        <v>557</v>
      </c>
      <c r="D82" s="74" t="s">
        <v>558</v>
      </c>
      <c r="E82" s="22"/>
    </row>
    <row r="83" spans="2:5" x14ac:dyDescent="0.35">
      <c r="B83" s="71" t="s">
        <v>675</v>
      </c>
      <c r="C83" s="72" t="s">
        <v>553</v>
      </c>
      <c r="D83" s="72" t="s">
        <v>554</v>
      </c>
      <c r="E83" s="22"/>
    </row>
    <row r="84" spans="2:5" x14ac:dyDescent="0.35">
      <c r="B84" s="23" t="s">
        <v>803</v>
      </c>
      <c r="C84" s="74" t="s">
        <v>525</v>
      </c>
      <c r="D84" s="74" t="s">
        <v>526</v>
      </c>
      <c r="E84" s="22"/>
    </row>
    <row r="85" spans="2:5" x14ac:dyDescent="0.35">
      <c r="B85" s="23" t="s">
        <v>804</v>
      </c>
      <c r="C85" s="74" t="s">
        <v>557</v>
      </c>
      <c r="D85" s="75" t="s">
        <v>556</v>
      </c>
      <c r="E85" s="22"/>
    </row>
    <row r="86" spans="2:5" x14ac:dyDescent="0.35">
      <c r="B86" s="23" t="s">
        <v>805</v>
      </c>
      <c r="C86" s="78" t="s">
        <v>565</v>
      </c>
      <c r="D86" s="78" t="s">
        <v>566</v>
      </c>
      <c r="E86" s="22"/>
    </row>
    <row r="87" spans="2:5" x14ac:dyDescent="0.35">
      <c r="B87" s="22" t="s">
        <v>806</v>
      </c>
      <c r="C87" s="22"/>
      <c r="D87" s="22"/>
      <c r="E87" s="22" t="s">
        <v>807</v>
      </c>
    </row>
    <row r="88" spans="2:5" x14ac:dyDescent="0.35">
      <c r="B88" s="32" t="s">
        <v>808</v>
      </c>
      <c r="C88" s="81" t="s">
        <v>525</v>
      </c>
      <c r="D88" s="81" t="s">
        <v>526</v>
      </c>
    </row>
    <row r="89" spans="2:5" x14ac:dyDescent="0.35">
      <c r="B89" s="32" t="s">
        <v>809</v>
      </c>
      <c r="C89" s="81" t="s">
        <v>525</v>
      </c>
      <c r="D89" s="81" t="s">
        <v>526</v>
      </c>
    </row>
    <row r="90" spans="2:5" x14ac:dyDescent="0.35">
      <c r="B90" s="82" t="s">
        <v>810</v>
      </c>
      <c r="C90" s="83" t="s">
        <v>535</v>
      </c>
      <c r="D90" s="84" t="s">
        <v>536</v>
      </c>
    </row>
  </sheetData>
  <autoFilter ref="B2:E2" xr:uid="{262952A2-B7A9-455F-8A76-999BAE31492A}"/>
  <conditionalFormatting sqref="B1:B1048576">
    <cfRule type="duplicateValues" dxfId="2" priority="1"/>
  </conditionalFormatting>
  <conditionalFormatting sqref="B2">
    <cfRule type="duplicateValues" dxfId="1" priority="2"/>
  </conditionalFormatting>
  <conditionalFormatting sqref="B3:B37 B39:B42 B44:B83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 Details</vt:lpstr>
      <vt:lpstr>GL Accounts</vt:lpstr>
      <vt:lpstr>Lookup Tab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Thomas Rentz</cp:lastModifiedBy>
  <dcterms:created xsi:type="dcterms:W3CDTF">2026-07-06T16:42:35Z</dcterms:created>
  <dcterms:modified xsi:type="dcterms:W3CDTF">2026-08-21T16:02:51Z</dcterms:modified>
</cp:coreProperties>
</file>